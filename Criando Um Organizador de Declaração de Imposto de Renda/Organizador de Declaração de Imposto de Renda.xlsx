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clar\Downloads\"/>
    </mc:Choice>
  </mc:AlternateContent>
  <xr:revisionPtr revIDLastSave="0" documentId="13_ncr:1_{99869A8A-E965-4450-91FE-44D9411E9F4B}" xr6:coauthVersionLast="47" xr6:coauthVersionMax="47" xr10:uidLastSave="{00000000-0000-0000-0000-000000000000}"/>
  <bookViews>
    <workbookView xWindow="-108" yWindow="-108" windowWidth="23256" windowHeight="12456" tabRatio="33" firstSheet="2" activeTab="2" xr2:uid="{00000000-000D-0000-FFFF-FFFF00000000}"/>
  </bookViews>
  <sheets>
    <sheet name="TITULAR" sheetId="1" r:id="rId1"/>
    <sheet name="INFORMES" sheetId="10" r:id="rId2"/>
    <sheet name="NOTAS" sheetId="11" r:id="rId3"/>
    <sheet name="PLANILHAS" sheetId="8" state="hidden" r:id="rId4"/>
  </sheets>
  <definedNames>
    <definedName name="_xlnm._FilterDatabase" localSheetId="2" hidden="1">NOTAS!$C$9:$E$9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0" l="1"/>
  <c r="G12" i="10"/>
  <c r="H11" i="10"/>
  <c r="G11" i="10"/>
  <c r="H10" i="10"/>
  <c r="G10" i="10"/>
  <c r="C7" i="10"/>
</calcChain>
</file>

<file path=xl/sharedStrings.xml><?xml version="1.0" encoding="utf-8"?>
<sst xmlns="http://schemas.openxmlformats.org/spreadsheetml/2006/main" count="119" uniqueCount="102">
  <si>
    <t>NOME</t>
  </si>
  <si>
    <t>CPF</t>
  </si>
  <si>
    <t>TÍTULO DE ELEITOR</t>
  </si>
  <si>
    <t>NASCIMENTO</t>
  </si>
  <si>
    <t>CEP</t>
  </si>
  <si>
    <t>TELEFONE</t>
  </si>
  <si>
    <t>CELULAR</t>
  </si>
  <si>
    <t>E-MAIL</t>
  </si>
  <si>
    <t>CÔNJUGE</t>
  </si>
  <si>
    <t>HOUVE ALTERÇÕES DA ENTREGA ANTERIOR</t>
  </si>
  <si>
    <t>DEPENDENTE CÔNJUGE</t>
  </si>
  <si>
    <t>RESIDENTE DO EXTERIOR</t>
  </si>
  <si>
    <t>1. DADOS DO TITULAR</t>
  </si>
  <si>
    <t>Preencha os dados da sua pessoa física abaixo</t>
  </si>
  <si>
    <t>SIM</t>
  </si>
  <si>
    <t>NÃO</t>
  </si>
  <si>
    <t>Preencha com seus dados atuais de cada banco</t>
  </si>
  <si>
    <t>BANCO</t>
  </si>
  <si>
    <t>VALOR ATUAL</t>
  </si>
  <si>
    <t>ANEXO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</si>
  <si>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</si>
  <si>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</si>
  <si>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</si>
  <si>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</si>
  <si>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</si>
  <si>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</si>
  <si>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</si>
  <si>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</si>
  <si>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</si>
  <si>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</si>
  <si>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</si>
  <si>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</si>
  <si>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</si>
  <si>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</si>
  <si>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</si>
  <si>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</si>
  <si>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</si>
  <si>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</si>
  <si>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</si>
  <si>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</si>
  <si>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</si>
  <si>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</si>
  <si>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</si>
  <si>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</si>
  <si>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</si>
  <si>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</si>
  <si>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</si>
  <si>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</si>
  <si>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</si>
  <si>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</si>
  <si>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</si>
  <si>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</si>
  <si>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</si>
  <si>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</si>
  <si>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</si>
  <si>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</si>
  <si>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</si>
  <si>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</si>
  <si>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</si>
  <si>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</si>
  <si>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</si>
  <si>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</si>
  <si>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</si>
  <si>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</si>
  <si>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</si>
  <si>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</si>
  <si>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</si>
  <si>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</si>
  <si>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</si>
  <si>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</si>
  <si>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</si>
  <si>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Joaquim Maria Machado de Assis</t>
  </si>
  <si>
    <t>machadoassis@gmail.com</t>
  </si>
  <si>
    <t>LOGRADOURO</t>
  </si>
  <si>
    <t>LOGRADOURO ABREVIADA</t>
  </si>
  <si>
    <t>R. Ladeira do Livramento</t>
  </si>
  <si>
    <t>Rua Ladeira do Livramento, nº 77</t>
  </si>
  <si>
    <t>21/07/1839</t>
  </si>
  <si>
    <t>Carolina Augusta Novais</t>
  </si>
  <si>
    <t>TOTAL</t>
  </si>
  <si>
    <t>1º Banco</t>
  </si>
  <si>
    <t>2º Banco</t>
  </si>
  <si>
    <t>3º Banco</t>
  </si>
  <si>
    <t>extratobb.pdf</t>
  </si>
  <si>
    <t>caixaecômicafederal.pdf</t>
  </si>
  <si>
    <t>itauinformes.pdf</t>
  </si>
  <si>
    <t>2. INFORMES DOS RENDIMENTOS BANCÁRIOS</t>
  </si>
  <si>
    <t>3. NOTAS BANCÁRIAS OU EXTRATOS DE HOLERITES</t>
  </si>
  <si>
    <t>ENTRADAS</t>
  </si>
  <si>
    <t>DATA</t>
  </si>
  <si>
    <t>CATEGORIA</t>
  </si>
  <si>
    <t>VALOR</t>
  </si>
  <si>
    <t>CNPJ</t>
  </si>
  <si>
    <t>HOLERITE</t>
  </si>
  <si>
    <t>FREELANCE</t>
  </si>
  <si>
    <t>SAÍDAS</t>
  </si>
  <si>
    <t>MORADIA</t>
  </si>
  <si>
    <t>TRANSPORTE</t>
  </si>
  <si>
    <t>SAÚDE</t>
  </si>
  <si>
    <t>HIGIENE</t>
  </si>
  <si>
    <t>LAZER</t>
  </si>
  <si>
    <t>Preencha com todas as entradas e saídas mês 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</si>
</sst>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&quot;(&quot;00&quot;) &quot;0000&quot;-&quot;0000"/>
    <numFmt numFmtId="166" formatCode="&quot;(&quot;00&quot;) &quot;00000&quot;-&quot;0000"/>
    <numFmt numFmtId="167" formatCode="&quot;R$&quot;\ #,##0.00"/>
    <numFmt numFmtId="168" formatCode="0000&quot;-&quot;000"/>
    <numFmt numFmtId="169" formatCode="0000&quot; &quot;0000&quot; &quot;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ptos Light"/>
      <family val="2"/>
    </font>
    <font>
      <sz val="14"/>
      <color rgb="FF2D2834"/>
      <name val="Segoe UI Variable Text Semibold"/>
    </font>
    <font>
      <i/>
      <sz val="11"/>
      <color theme="1"/>
      <name val="Calibri"/>
      <family val="2"/>
      <scheme val="minor"/>
    </font>
    <font>
      <sz val="14"/>
      <color rgb="FFFF6501"/>
      <name val="Segoe UI Variable Text Semibold"/>
    </font>
    <font>
      <u/>
      <sz val="11"/>
      <color theme="10"/>
      <name val="Calibri"/>
      <family val="2"/>
      <scheme val="minor"/>
    </font>
    <font>
      <sz val="10"/>
      <color theme="1" tint="0.499984740745262"/>
      <name val="Aptos Light"/>
      <family val="2"/>
    </font>
    <font>
      <b/>
      <sz val="11"/>
      <color rgb="FF2D283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DCC5"/>
        <bgColor indexed="64"/>
      </patternFill>
    </fill>
    <fill>
      <patternFill patternType="solid">
        <fgColor rgb="FFBEB8C8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ck">
        <color rgb="FFFF6501"/>
      </top>
      <bottom/>
      <diagonal/>
    </border>
    <border>
      <left/>
      <right/>
      <top/>
      <bottom style="thin">
        <color theme="2" tint="-9.9917600024414813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/>
      <bottom style="medium">
        <color rgb="FF2D2834"/>
      </bottom>
      <diagonal/>
    </border>
    <border>
      <left/>
      <right/>
      <top style="medium">
        <color rgb="FF2D2834"/>
      </top>
      <bottom style="thick">
        <color theme="0"/>
      </bottom>
      <diagonal/>
    </border>
    <border>
      <left/>
      <right/>
      <top/>
      <bottom style="thick">
        <color rgb="FFFF650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1" fillId="0" borderId="1" xfId="0" applyFont="1" applyBorder="1"/>
    <xf numFmtId="0" fontId="4" fillId="0" borderId="0" xfId="0" applyFont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1" fillId="0" borderId="4" xfId="0" applyFont="1" applyBorder="1"/>
    <xf numFmtId="0" fontId="6" fillId="0" borderId="3" xfId="0" applyFont="1" applyBorder="1"/>
    <xf numFmtId="0" fontId="2" fillId="0" borderId="5" xfId="0" applyFont="1" applyBorder="1"/>
    <xf numFmtId="0" fontId="0" fillId="0" borderId="5" xfId="0" applyBorder="1"/>
    <xf numFmtId="167" fontId="7" fillId="4" borderId="6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left"/>
      <protection locked="0"/>
    </xf>
    <xf numFmtId="164" fontId="1" fillId="5" borderId="1" xfId="0" applyNumberFormat="1" applyFont="1" applyFill="1" applyBorder="1" applyAlignment="1" applyProtection="1">
      <alignment horizontal="left"/>
      <protection locked="0"/>
    </xf>
    <xf numFmtId="14" fontId="1" fillId="5" borderId="1" xfId="0" applyNumberFormat="1" applyFont="1" applyFill="1" applyBorder="1" applyAlignment="1" applyProtection="1">
      <alignment horizontal="left"/>
      <protection locked="0"/>
    </xf>
    <xf numFmtId="169" fontId="1" fillId="5" borderId="1" xfId="0" applyNumberFormat="1" applyFont="1" applyFill="1" applyBorder="1" applyAlignment="1" applyProtection="1">
      <alignment horizontal="left"/>
      <protection locked="0"/>
    </xf>
    <xf numFmtId="0" fontId="1" fillId="5" borderId="1" xfId="0" applyFont="1" applyFill="1" applyBorder="1" applyAlignment="1" applyProtection="1">
      <alignment horizontal="left"/>
      <protection locked="0"/>
    </xf>
    <xf numFmtId="168" fontId="1" fillId="5" borderId="1" xfId="0" applyNumberFormat="1" applyFont="1" applyFill="1" applyBorder="1" applyAlignment="1" applyProtection="1">
      <alignment horizontal="left"/>
      <protection locked="0"/>
    </xf>
    <xf numFmtId="165" fontId="1" fillId="5" borderId="1" xfId="0" applyNumberFormat="1" applyFont="1" applyFill="1" applyBorder="1" applyAlignment="1" applyProtection="1">
      <alignment horizontal="left"/>
      <protection locked="0"/>
    </xf>
    <xf numFmtId="166" fontId="1" fillId="5" borderId="1" xfId="0" applyNumberFormat="1" applyFont="1" applyFill="1" applyBorder="1" applyAlignment="1" applyProtection="1">
      <alignment horizontal="left"/>
      <protection locked="0"/>
    </xf>
    <xf numFmtId="0" fontId="5" fillId="5" borderId="1" xfId="1" applyFill="1" applyBorder="1" applyAlignment="1" applyProtection="1">
      <alignment horizontal="left"/>
      <protection locked="0"/>
    </xf>
    <xf numFmtId="0" fontId="1" fillId="5" borderId="1" xfId="0" applyFont="1" applyFill="1" applyBorder="1" applyProtection="1">
      <protection locked="0"/>
    </xf>
    <xf numFmtId="167" fontId="1" fillId="5" borderId="1" xfId="0" applyNumberFormat="1" applyFont="1" applyFill="1" applyBorder="1" applyAlignment="1" applyProtection="1">
      <alignment horizontal="left"/>
      <protection locked="0"/>
    </xf>
    <xf numFmtId="164" fontId="1" fillId="5" borderId="1" xfId="0" applyNumberFormat="1" applyFont="1" applyFill="1" applyBorder="1" applyProtection="1"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67" fontId="1" fillId="0" borderId="0" xfId="0" applyNumberFormat="1" applyFont="1" applyAlignment="1" applyProtection="1">
      <alignment horizontal="center"/>
      <protection locked="0"/>
    </xf>
    <xf numFmtId="0" fontId="4" fillId="0" borderId="7" xfId="0" applyFont="1" applyBorder="1"/>
    <xf numFmtId="0" fontId="0" fillId="0" borderId="7" xfId="0" applyBorder="1"/>
    <xf numFmtId="167" fontId="0" fillId="0" borderId="0" xfId="0" applyNumberFormat="1"/>
    <xf numFmtId="167" fontId="0" fillId="4" borderId="0" xfId="0" applyNumberForma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</cellXfs>
  <cellStyles count="2">
    <cellStyle name="Hiperlink" xfId="1" builtinId="8"/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Aptos Light"/>
        <family val="2"/>
        <scheme val="none"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 outline="0">
        <top style="medium">
          <color rgb="FF2D2834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D2834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rgb="FFBEB8C8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Light"/>
        <family val="2"/>
        <scheme val="none"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 outline="0">
        <top style="medium">
          <color rgb="FF2D2834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Light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D2834"/>
        <name val="Calibri"/>
        <family val="2"/>
        <scheme val="minor"/>
      </font>
      <numFmt numFmtId="167" formatCode="&quot;R$&quot;\ #,##0.00"/>
      <fill>
        <patternFill patternType="solid">
          <fgColor indexed="64"/>
          <bgColor rgb="FFBEB8C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1D7D7"/>
      <color rgb="FF2D2834"/>
      <color rgb="FFFF6501"/>
      <color rgb="FFFF33CC"/>
      <color rgb="FFBEB8C8"/>
      <color rgb="FFFFDCC5"/>
      <color rgb="FFDFDCE4"/>
      <color rgb="FFC9BE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Variable Text Semibold" pitchFamily="2" charset="0"/>
                <a:ea typeface="+mn-ea"/>
                <a:cs typeface="+mn-cs"/>
              </a:defRPr>
            </a:pPr>
            <a:r>
              <a:rPr lang="pt-BR">
                <a:solidFill>
                  <a:srgbClr val="2D2834"/>
                </a:solidFill>
                <a:latin typeface="Segoe UI Variable Text Semibold" pitchFamily="2" charset="0"/>
              </a:rPr>
              <a:t>RENDIMENTO</a:t>
            </a:r>
            <a:r>
              <a:rPr lang="pt-BR" baseline="0">
                <a:solidFill>
                  <a:srgbClr val="2D2834"/>
                </a:solidFill>
                <a:latin typeface="Segoe UI Variable Text Semibold" pitchFamily="2" charset="0"/>
              </a:rPr>
              <a:t>S ATUAIS POR BANCO</a:t>
            </a:r>
            <a:endParaRPr lang="pt-BR">
              <a:solidFill>
                <a:srgbClr val="2D2834"/>
              </a:solidFill>
              <a:latin typeface="Segoe UI Variable Text Semibold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Variable Text Semibold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33CC"/>
            </a:solidFill>
          </c:spPr>
          <c:dPt>
            <c:idx val="0"/>
            <c:bubble3D val="0"/>
            <c:spPr>
              <a:solidFill>
                <a:srgbClr val="FF65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FA7-4803-8DA1-14F78485B3B7}"/>
              </c:ext>
            </c:extLst>
          </c:dPt>
          <c:dPt>
            <c:idx val="1"/>
            <c:bubble3D val="0"/>
            <c:spPr>
              <a:solidFill>
                <a:srgbClr val="2D283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A7-4803-8DA1-14F78485B3B7}"/>
              </c:ext>
            </c:extLst>
          </c:dPt>
          <c:dPt>
            <c:idx val="2"/>
            <c:bubble3D val="0"/>
            <c:spPr>
              <a:solidFill>
                <a:srgbClr val="E1D7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A7-4803-8DA1-14F78485B3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Light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INFORMES!$G$10:$G$12</c:f>
              <c:strCache>
                <c:ptCount val="3"/>
                <c:pt idx="0">
                  <c:v>1 - Banco do Brasil</c:v>
                </c:pt>
                <c:pt idx="1">
                  <c:v>104 - Caixa Econômica Federal</c:v>
                </c:pt>
                <c:pt idx="2">
                  <c:v>341 - Itaú Unibanco</c:v>
                </c:pt>
              </c:strCache>
            </c:strRef>
          </c:cat>
          <c:val>
            <c:numRef>
              <c:f>INFORMES!$H$10:$H$12</c:f>
              <c:numCache>
                <c:formatCode>"R$"\ #,##0.00</c:formatCode>
                <c:ptCount val="3"/>
                <c:pt idx="0">
                  <c:v>500000</c:v>
                </c:pt>
                <c:pt idx="1">
                  <c:v>600000</c:v>
                </c:pt>
                <c:pt idx="2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7-4803-8DA1-14F78485B3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ptos Light" panose="020B0004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160020</xdr:rowOff>
    </xdr:from>
    <xdr:to>
      <xdr:col>0</xdr:col>
      <xdr:colOff>2339340</xdr:colOff>
      <xdr:row>9</xdr:row>
      <xdr:rowOff>33042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0E57081-C44F-1ADF-DE47-CA06A21D4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41" t="17199" r="14507" b="27778"/>
        <a:stretch>
          <a:fillRect/>
        </a:stretch>
      </xdr:blipFill>
      <xdr:spPr>
        <a:xfrm>
          <a:off x="114300" y="160020"/>
          <a:ext cx="2225040" cy="1755162"/>
        </a:xfrm>
        <a:prstGeom prst="rect">
          <a:avLst/>
        </a:prstGeom>
      </xdr:spPr>
    </xdr:pic>
    <xdr:clientData/>
  </xdr:twoCellAnchor>
  <xdr:twoCellAnchor editAs="absolute">
    <xdr:from>
      <xdr:col>0</xdr:col>
      <xdr:colOff>312420</xdr:colOff>
      <xdr:row>11</xdr:row>
      <xdr:rowOff>0</xdr:rowOff>
    </xdr:from>
    <xdr:to>
      <xdr:col>0</xdr:col>
      <xdr:colOff>2141220</xdr:colOff>
      <xdr:row>13</xdr:row>
      <xdr:rowOff>144780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8BD8B9C2-E5B4-6265-D35B-757D11418529}"/>
            </a:ext>
          </a:extLst>
        </xdr:cNvPr>
        <xdr:cNvSpPr/>
      </xdr:nvSpPr>
      <xdr:spPr>
        <a:xfrm>
          <a:off x="312420" y="2247900"/>
          <a:ext cx="1828800" cy="510540"/>
        </a:xfrm>
        <a:prstGeom prst="roundRect">
          <a:avLst>
            <a:gd name="adj" fmla="val 17902"/>
          </a:avLst>
        </a:prstGeom>
        <a:solidFill>
          <a:srgbClr val="2D283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312420</xdr:colOff>
      <xdr:row>14</xdr:row>
      <xdr:rowOff>38100</xdr:rowOff>
    </xdr:from>
    <xdr:to>
      <xdr:col>0</xdr:col>
      <xdr:colOff>2141220</xdr:colOff>
      <xdr:row>17</xdr:row>
      <xdr:rowOff>0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2DE351-2FBC-4E4D-B10C-B8EA66FE14AA}"/>
            </a:ext>
          </a:extLst>
        </xdr:cNvPr>
        <xdr:cNvSpPr/>
      </xdr:nvSpPr>
      <xdr:spPr>
        <a:xfrm>
          <a:off x="312420" y="2834640"/>
          <a:ext cx="1828800" cy="510540"/>
        </a:xfrm>
        <a:prstGeom prst="roundRect">
          <a:avLst>
            <a:gd name="adj" fmla="val 1790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2D2834"/>
              </a:solidFill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312420</xdr:colOff>
      <xdr:row>17</xdr:row>
      <xdr:rowOff>76200</xdr:rowOff>
    </xdr:from>
    <xdr:to>
      <xdr:col>0</xdr:col>
      <xdr:colOff>2141220</xdr:colOff>
      <xdr:row>20</xdr:row>
      <xdr:rowOff>38100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45A97E-C913-4ADF-B945-D94482BB244D}"/>
            </a:ext>
          </a:extLst>
        </xdr:cNvPr>
        <xdr:cNvSpPr/>
      </xdr:nvSpPr>
      <xdr:spPr>
        <a:xfrm>
          <a:off x="312420" y="3421380"/>
          <a:ext cx="1828800" cy="510540"/>
        </a:xfrm>
        <a:prstGeom prst="roundRect">
          <a:avLst>
            <a:gd name="adj" fmla="val 1790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rgbClr val="2D2834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331470</xdr:colOff>
      <xdr:row>24</xdr:row>
      <xdr:rowOff>68580</xdr:rowOff>
    </xdr:from>
    <xdr:to>
      <xdr:col>0</xdr:col>
      <xdr:colOff>2183130</xdr:colOff>
      <xdr:row>25</xdr:row>
      <xdr:rowOff>60960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B0EDD7CF-68D3-2726-FAD8-BF8096D4848F}"/>
            </a:ext>
          </a:extLst>
        </xdr:cNvPr>
        <xdr:cNvSpPr txBox="1"/>
      </xdr:nvSpPr>
      <xdr:spPr>
        <a:xfrm>
          <a:off x="331470" y="4411980"/>
          <a:ext cx="185166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2D2834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BY</a:t>
          </a:r>
          <a:r>
            <a:rPr lang="pt-BR" sz="1000" baseline="0">
              <a:solidFill>
                <a:srgbClr val="2D2834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MARIA VASCONCELOS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🧡</a:t>
          </a:r>
          <a:endParaRPr lang="pt-BR" sz="1000" baseline="0">
            <a:solidFill>
              <a:srgbClr val="2D2834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  <a:p>
          <a:pPr algn="ctr"/>
          <a:endParaRPr lang="pt-BR" sz="1000"/>
        </a:p>
      </xdr:txBody>
    </xdr:sp>
    <xdr:clientData/>
  </xdr:twoCellAnchor>
  <xdr:twoCellAnchor editAs="absolute">
    <xdr:from>
      <xdr:col>0</xdr:col>
      <xdr:colOff>334080</xdr:colOff>
      <xdr:row>24</xdr:row>
      <xdr:rowOff>15240</xdr:rowOff>
    </xdr:from>
    <xdr:to>
      <xdr:col>0</xdr:col>
      <xdr:colOff>2119560</xdr:colOff>
      <xdr:row>24</xdr:row>
      <xdr:rowOff>15240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B13B5303-60A5-B686-10FA-C54B4FFE059A}"/>
            </a:ext>
          </a:extLst>
        </xdr:cNvPr>
        <xdr:cNvCxnSpPr/>
      </xdr:nvCxnSpPr>
      <xdr:spPr>
        <a:xfrm>
          <a:off x="334080" y="4358640"/>
          <a:ext cx="1785480" cy="0"/>
        </a:xfrm>
        <a:prstGeom prst="line">
          <a:avLst/>
        </a:prstGeom>
        <a:ln w="15875">
          <a:solidFill>
            <a:srgbClr val="FF65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114300</xdr:rowOff>
    </xdr:from>
    <xdr:to>
      <xdr:col>3</xdr:col>
      <xdr:colOff>2788920</xdr:colOff>
      <xdr:row>21</xdr:row>
      <xdr:rowOff>45720</xdr:rowOff>
    </xdr:to>
    <xdr:sp macro="" textlink="">
      <xdr:nvSpPr>
        <xdr:cNvPr id="23" name="Retângulo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00F5AD-FFFF-46F0-9B9E-20A2B72B4471}"/>
            </a:ext>
          </a:extLst>
        </xdr:cNvPr>
        <xdr:cNvSpPr/>
      </xdr:nvSpPr>
      <xdr:spPr>
        <a:xfrm>
          <a:off x="5867400" y="3825240"/>
          <a:ext cx="2788920" cy="297180"/>
        </a:xfrm>
        <a:prstGeom prst="rect">
          <a:avLst/>
        </a:prstGeom>
        <a:solidFill>
          <a:srgbClr val="FF650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lt1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PRÓXIMO ⭢</a:t>
          </a:r>
          <a:endParaRPr lang="pt-BR" sz="1400">
            <a:effectLst/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160020</xdr:rowOff>
    </xdr:from>
    <xdr:to>
      <xdr:col>0</xdr:col>
      <xdr:colOff>2339340</xdr:colOff>
      <xdr:row>8</xdr:row>
      <xdr:rowOff>132102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447C2D-E988-4BA6-BB04-D160F8C54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41" t="17199" r="14507" b="27778"/>
        <a:stretch>
          <a:fillRect/>
        </a:stretch>
      </xdr:blipFill>
      <xdr:spPr>
        <a:xfrm>
          <a:off x="114300" y="160020"/>
          <a:ext cx="2225040" cy="1755162"/>
        </a:xfrm>
        <a:prstGeom prst="rect">
          <a:avLst/>
        </a:prstGeom>
      </xdr:spPr>
    </xdr:pic>
    <xdr:clientData/>
  </xdr:twoCellAnchor>
  <xdr:twoCellAnchor editAs="absolute">
    <xdr:from>
      <xdr:col>0</xdr:col>
      <xdr:colOff>312420</xdr:colOff>
      <xdr:row>10</xdr:row>
      <xdr:rowOff>99060</xdr:rowOff>
    </xdr:from>
    <xdr:to>
      <xdr:col>0</xdr:col>
      <xdr:colOff>2141220</xdr:colOff>
      <xdr:row>13</xdr:row>
      <xdr:rowOff>60960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85C677-6BB7-43C8-B87E-1119E3CD1F69}"/>
            </a:ext>
          </a:extLst>
        </xdr:cNvPr>
        <xdr:cNvSpPr/>
      </xdr:nvSpPr>
      <xdr:spPr>
        <a:xfrm>
          <a:off x="312420" y="2247900"/>
          <a:ext cx="1828800" cy="510540"/>
        </a:xfrm>
        <a:prstGeom prst="roundRect">
          <a:avLst>
            <a:gd name="adj" fmla="val 1790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2D2834"/>
              </a:solidFill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312420</xdr:colOff>
      <xdr:row>13</xdr:row>
      <xdr:rowOff>137160</xdr:rowOff>
    </xdr:from>
    <xdr:to>
      <xdr:col>0</xdr:col>
      <xdr:colOff>2141220</xdr:colOff>
      <xdr:row>16</xdr:row>
      <xdr:rowOff>99060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FB67D4A8-B4FC-4CFF-9407-9253B4014DA9}"/>
            </a:ext>
          </a:extLst>
        </xdr:cNvPr>
        <xdr:cNvSpPr/>
      </xdr:nvSpPr>
      <xdr:spPr>
        <a:xfrm>
          <a:off x="312420" y="2834640"/>
          <a:ext cx="1828800" cy="510540"/>
        </a:xfrm>
        <a:prstGeom prst="roundRect">
          <a:avLst>
            <a:gd name="adj" fmla="val 17902"/>
          </a:avLst>
        </a:prstGeom>
        <a:solidFill>
          <a:srgbClr val="2D283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312420</xdr:colOff>
      <xdr:row>16</xdr:row>
      <xdr:rowOff>175260</xdr:rowOff>
    </xdr:from>
    <xdr:to>
      <xdr:col>0</xdr:col>
      <xdr:colOff>2141220</xdr:colOff>
      <xdr:row>19</xdr:row>
      <xdr:rowOff>137160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9C1901-9488-4A96-AE99-2EB865B17F90}"/>
            </a:ext>
          </a:extLst>
        </xdr:cNvPr>
        <xdr:cNvSpPr/>
      </xdr:nvSpPr>
      <xdr:spPr>
        <a:xfrm>
          <a:off x="312420" y="3421380"/>
          <a:ext cx="1828800" cy="510540"/>
        </a:xfrm>
        <a:prstGeom prst="roundRect">
          <a:avLst>
            <a:gd name="adj" fmla="val 1790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rgbClr val="2D2834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331470</xdr:colOff>
      <xdr:row>23</xdr:row>
      <xdr:rowOff>167640</xdr:rowOff>
    </xdr:from>
    <xdr:to>
      <xdr:col>0</xdr:col>
      <xdr:colOff>2183130</xdr:colOff>
      <xdr:row>24</xdr:row>
      <xdr:rowOff>160020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EEB7117-F627-4EB6-ABBE-8195D2B3A97A}"/>
            </a:ext>
          </a:extLst>
        </xdr:cNvPr>
        <xdr:cNvSpPr txBox="1"/>
      </xdr:nvSpPr>
      <xdr:spPr>
        <a:xfrm>
          <a:off x="331470" y="4693920"/>
          <a:ext cx="185166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2D2834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BY</a:t>
          </a:r>
          <a:r>
            <a:rPr lang="pt-BR" sz="1000" baseline="0">
              <a:solidFill>
                <a:srgbClr val="2D2834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MARIA VASCONCELOS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🧡</a:t>
          </a:r>
          <a:endParaRPr lang="pt-BR" sz="1000" baseline="0">
            <a:solidFill>
              <a:srgbClr val="2D2834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  <a:p>
          <a:pPr algn="ctr"/>
          <a:endParaRPr lang="pt-BR" sz="1000"/>
        </a:p>
      </xdr:txBody>
    </xdr:sp>
    <xdr:clientData/>
  </xdr:twoCellAnchor>
  <xdr:twoCellAnchor editAs="absolute">
    <xdr:from>
      <xdr:col>0</xdr:col>
      <xdr:colOff>334080</xdr:colOff>
      <xdr:row>23</xdr:row>
      <xdr:rowOff>114300</xdr:rowOff>
    </xdr:from>
    <xdr:to>
      <xdr:col>0</xdr:col>
      <xdr:colOff>2119560</xdr:colOff>
      <xdr:row>23</xdr:row>
      <xdr:rowOff>114300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197775F6-2871-49AC-8327-AFE88733724F}"/>
            </a:ext>
          </a:extLst>
        </xdr:cNvPr>
        <xdr:cNvCxnSpPr/>
      </xdr:nvCxnSpPr>
      <xdr:spPr>
        <a:xfrm>
          <a:off x="334080" y="4640580"/>
          <a:ext cx="1785480" cy="0"/>
        </a:xfrm>
        <a:prstGeom prst="line">
          <a:avLst/>
        </a:prstGeom>
        <a:ln w="15875">
          <a:solidFill>
            <a:srgbClr val="FF65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22</xdr:row>
      <xdr:rowOff>106680</xdr:rowOff>
    </xdr:from>
    <xdr:to>
      <xdr:col>4</xdr:col>
      <xdr:colOff>7620</xdr:colOff>
      <xdr:row>24</xdr:row>
      <xdr:rowOff>38100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E77E48-3EBE-4F41-BFCD-7579071C4063}"/>
            </a:ext>
          </a:extLst>
        </xdr:cNvPr>
        <xdr:cNvSpPr/>
      </xdr:nvSpPr>
      <xdr:spPr>
        <a:xfrm>
          <a:off x="5882640" y="4450080"/>
          <a:ext cx="2788920" cy="297180"/>
        </a:xfrm>
        <a:prstGeom prst="rect">
          <a:avLst/>
        </a:prstGeom>
        <a:solidFill>
          <a:srgbClr val="FF650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lt1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PRÓXIMO ⭢</a:t>
          </a:r>
          <a:endParaRPr lang="pt-BR" sz="1400">
            <a:effectLst/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2</xdr:col>
      <xdr:colOff>0</xdr:colOff>
      <xdr:row>22</xdr:row>
      <xdr:rowOff>106680</xdr:rowOff>
    </xdr:from>
    <xdr:to>
      <xdr:col>2</xdr:col>
      <xdr:colOff>2758440</xdr:colOff>
      <xdr:row>24</xdr:row>
      <xdr:rowOff>38100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1BF3EF-3724-4164-870E-7971DE21AE4D}"/>
            </a:ext>
          </a:extLst>
        </xdr:cNvPr>
        <xdr:cNvSpPr/>
      </xdr:nvSpPr>
      <xdr:spPr>
        <a:xfrm>
          <a:off x="3070860" y="4450080"/>
          <a:ext cx="2758440" cy="297180"/>
        </a:xfrm>
        <a:prstGeom prst="rect">
          <a:avLst/>
        </a:prstGeom>
        <a:solidFill>
          <a:srgbClr val="FF650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lt1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⭠ ANTERIOR</a:t>
          </a:r>
          <a:endParaRPr lang="pt-BR" sz="1400">
            <a:effectLst/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>
    <xdr:from>
      <xdr:col>4</xdr:col>
      <xdr:colOff>182880</xdr:colOff>
      <xdr:row>4</xdr:row>
      <xdr:rowOff>83820</xdr:rowOff>
    </xdr:from>
    <xdr:to>
      <xdr:col>11</xdr:col>
      <xdr:colOff>236220</xdr:colOff>
      <xdr:row>22</xdr:row>
      <xdr:rowOff>30480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15D6B99-698B-250E-00EE-8E9B7C1F7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114300</xdr:colOff>
      <xdr:row>0</xdr:row>
      <xdr:rowOff>160020</xdr:rowOff>
    </xdr:from>
    <xdr:to>
      <xdr:col>0</xdr:col>
      <xdr:colOff>2339340</xdr:colOff>
      <xdr:row>8</xdr:row>
      <xdr:rowOff>132102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DD6589-FED7-4173-ABAC-37EE7A5841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41" t="17199" r="14507" b="27778"/>
        <a:stretch>
          <a:fillRect/>
        </a:stretch>
      </xdr:blipFill>
      <xdr:spPr>
        <a:xfrm>
          <a:off x="114300" y="160020"/>
          <a:ext cx="2225040" cy="1755162"/>
        </a:xfrm>
        <a:prstGeom prst="rect">
          <a:avLst/>
        </a:prstGeom>
      </xdr:spPr>
    </xdr:pic>
    <xdr:clientData/>
  </xdr:twoCellAnchor>
  <xdr:twoCellAnchor editAs="absolute">
    <xdr:from>
      <xdr:col>0</xdr:col>
      <xdr:colOff>312420</xdr:colOff>
      <xdr:row>10</xdr:row>
      <xdr:rowOff>83820</xdr:rowOff>
    </xdr:from>
    <xdr:to>
      <xdr:col>0</xdr:col>
      <xdr:colOff>2141220</xdr:colOff>
      <xdr:row>13</xdr:row>
      <xdr:rowOff>45720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347EBD-551F-46FF-8358-1649AD296250}"/>
            </a:ext>
          </a:extLst>
        </xdr:cNvPr>
        <xdr:cNvSpPr/>
      </xdr:nvSpPr>
      <xdr:spPr>
        <a:xfrm>
          <a:off x="312420" y="2247900"/>
          <a:ext cx="1828800" cy="510540"/>
        </a:xfrm>
        <a:prstGeom prst="roundRect">
          <a:avLst>
            <a:gd name="adj" fmla="val 1790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2D2834"/>
              </a:solidFill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absolute">
    <xdr:from>
      <xdr:col>0</xdr:col>
      <xdr:colOff>312420</xdr:colOff>
      <xdr:row>13</xdr:row>
      <xdr:rowOff>121920</xdr:rowOff>
    </xdr:from>
    <xdr:to>
      <xdr:col>0</xdr:col>
      <xdr:colOff>2141220</xdr:colOff>
      <xdr:row>16</xdr:row>
      <xdr:rowOff>83820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F79271-CD82-4E49-9187-6BC40CF6FC19}"/>
            </a:ext>
          </a:extLst>
        </xdr:cNvPr>
        <xdr:cNvSpPr/>
      </xdr:nvSpPr>
      <xdr:spPr>
        <a:xfrm>
          <a:off x="312420" y="2834640"/>
          <a:ext cx="1828800" cy="510540"/>
        </a:xfrm>
        <a:prstGeom prst="roundRect">
          <a:avLst>
            <a:gd name="adj" fmla="val 17902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2D2834"/>
              </a:solidFill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312420</xdr:colOff>
      <xdr:row>16</xdr:row>
      <xdr:rowOff>160020</xdr:rowOff>
    </xdr:from>
    <xdr:to>
      <xdr:col>0</xdr:col>
      <xdr:colOff>2141220</xdr:colOff>
      <xdr:row>19</xdr:row>
      <xdr:rowOff>121920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06CA7F4-A834-4C21-998E-00F52C82FBB8}"/>
            </a:ext>
          </a:extLst>
        </xdr:cNvPr>
        <xdr:cNvSpPr/>
      </xdr:nvSpPr>
      <xdr:spPr>
        <a:xfrm>
          <a:off x="312420" y="3421380"/>
          <a:ext cx="1828800" cy="510540"/>
        </a:xfrm>
        <a:prstGeom prst="roundRect">
          <a:avLst>
            <a:gd name="adj" fmla="val 17902"/>
          </a:avLst>
        </a:prstGeom>
        <a:solidFill>
          <a:srgbClr val="2D283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bg1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0</xdr:col>
      <xdr:colOff>331470</xdr:colOff>
      <xdr:row>23</xdr:row>
      <xdr:rowOff>152400</xdr:rowOff>
    </xdr:from>
    <xdr:to>
      <xdr:col>0</xdr:col>
      <xdr:colOff>2183130</xdr:colOff>
      <xdr:row>24</xdr:row>
      <xdr:rowOff>144780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B398871-F8E4-4034-8EAB-78EA561990E1}"/>
            </a:ext>
          </a:extLst>
        </xdr:cNvPr>
        <xdr:cNvSpPr txBox="1"/>
      </xdr:nvSpPr>
      <xdr:spPr>
        <a:xfrm>
          <a:off x="331470" y="4693920"/>
          <a:ext cx="185166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>
              <a:solidFill>
                <a:srgbClr val="2D2834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BY</a:t>
          </a:r>
          <a:r>
            <a:rPr lang="pt-BR" sz="1000" baseline="0">
              <a:solidFill>
                <a:srgbClr val="2D2834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MARIA VASCONCELOS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🧡</a:t>
          </a:r>
          <a:endParaRPr lang="pt-BR" sz="1000" baseline="0">
            <a:solidFill>
              <a:srgbClr val="2D2834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  <a:p>
          <a:pPr algn="ctr"/>
          <a:endParaRPr lang="pt-BR" sz="1000"/>
        </a:p>
      </xdr:txBody>
    </xdr:sp>
    <xdr:clientData/>
  </xdr:twoCellAnchor>
  <xdr:twoCellAnchor editAs="absolute">
    <xdr:from>
      <xdr:col>0</xdr:col>
      <xdr:colOff>334080</xdr:colOff>
      <xdr:row>23</xdr:row>
      <xdr:rowOff>99060</xdr:rowOff>
    </xdr:from>
    <xdr:to>
      <xdr:col>0</xdr:col>
      <xdr:colOff>2119560</xdr:colOff>
      <xdr:row>23</xdr:row>
      <xdr:rowOff>99060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D4922AF6-2270-4E66-8284-2E9F09495B68}"/>
            </a:ext>
          </a:extLst>
        </xdr:cNvPr>
        <xdr:cNvCxnSpPr/>
      </xdr:nvCxnSpPr>
      <xdr:spPr>
        <a:xfrm>
          <a:off x="334080" y="4640580"/>
          <a:ext cx="1785480" cy="0"/>
        </a:xfrm>
        <a:prstGeom prst="line">
          <a:avLst/>
        </a:prstGeom>
        <a:ln w="15875">
          <a:solidFill>
            <a:srgbClr val="FF650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5</xdr:row>
      <xdr:rowOff>0</xdr:rowOff>
    </xdr:from>
    <xdr:to>
      <xdr:col>3</xdr:col>
      <xdr:colOff>1333500</xdr:colOff>
      <xdr:row>6</xdr:row>
      <xdr:rowOff>114300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2A58BE-6884-42A3-919F-474533B902BB}"/>
            </a:ext>
          </a:extLst>
        </xdr:cNvPr>
        <xdr:cNvSpPr/>
      </xdr:nvSpPr>
      <xdr:spPr>
        <a:xfrm>
          <a:off x="3070860" y="1150620"/>
          <a:ext cx="2758440" cy="297180"/>
        </a:xfrm>
        <a:prstGeom prst="rect">
          <a:avLst/>
        </a:prstGeom>
        <a:solidFill>
          <a:srgbClr val="FF650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lt1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⭠ ANTERIOR</a:t>
          </a:r>
          <a:endParaRPr lang="pt-BR" sz="1400">
            <a:effectLst/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75F00F-C6D6-4F7E-A535-659265188309}" name="Tabela2" displayName="Tabela2" ref="C9:E47" totalsRowShown="0" headerRowDxfId="13" dataDxfId="11" headerRowBorderDxfId="12" tableBorderDxfId="10">
  <autoFilter ref="C9:E47" xr:uid="{5475F00F-C6D6-4F7E-A535-659265188309}"/>
  <tableColumns count="3">
    <tableColumn id="1" xr3:uid="{A34E31A3-EBF2-4327-8188-C74C9D69FA9F}" name="DATA" dataDxfId="9"/>
    <tableColumn id="2" xr3:uid="{95D57F3A-CA98-4B3B-8EE1-3B9F52CA2C8E}" name="CATEGORIA" dataDxfId="8"/>
    <tableColumn id="3" xr3:uid="{AA3E34F1-B302-47D0-8FA1-7AC156163DCA}" name="VALOR" dataDxfId="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A9E9A8-777D-4DE5-8BC8-5BA2838D3553}" name="Tabela24" displayName="Tabela24" ref="G9:I47" totalsRowShown="0" headerRowDxfId="6" dataDxfId="4" headerRowBorderDxfId="5" tableBorderDxfId="3">
  <autoFilter ref="G9:I47" xr:uid="{2CA9E9A8-777D-4DE5-8BC8-5BA2838D3553}"/>
  <tableColumns count="3">
    <tableColumn id="1" xr3:uid="{3FE805F9-4FE2-40EE-9951-F39E388E0FA5}" name="DATA" dataDxfId="2"/>
    <tableColumn id="2" xr3:uid="{E060F01E-9C97-47D6-9500-487DD4C0308F}" name="CATEGORIA" dataDxfId="1"/>
    <tableColumn id="3" xr3:uid="{69DABE5E-D4E4-4CDF-98DC-98BCB62BF1FB}" name="VALOR" dataDxfId="0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77FF6-39DC-4C0A-8F7F-3244EE19B577}" name="Tabela1" displayName="Tabela1" ref="A1:A51" totalsRowShown="0">
  <autoFilter ref="A1:A51" xr:uid="{81177FF6-39DC-4C0A-8F7F-3244EE19B577}"/>
  <tableColumns count="1">
    <tableColumn id="1" xr3:uid="{CB289E46-5F8B-4FF2-A65E-E74DB0494A49}" name="Banco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chadoassi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9"/>
  <sheetViews>
    <sheetView showGridLines="0" showRowColHeaders="0" workbookViewId="0">
      <selection activeCell="D6" sqref="D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5.88671875" style="1" customWidth="1"/>
    <col min="3" max="4" width="40.77734375" customWidth="1"/>
  </cols>
  <sheetData>
    <row r="3" spans="3:4" ht="21" thickBot="1" x14ac:dyDescent="0.5">
      <c r="C3" s="3" t="s">
        <v>12</v>
      </c>
    </row>
    <row r="4" spans="3:4" ht="26.4" customHeight="1" thickTop="1" x14ac:dyDescent="0.3">
      <c r="C4" s="5" t="s">
        <v>13</v>
      </c>
      <c r="D4" s="4"/>
    </row>
    <row r="6" spans="3:4" x14ac:dyDescent="0.3">
      <c r="C6" s="2" t="s">
        <v>0</v>
      </c>
      <c r="D6" s="11" t="s">
        <v>71</v>
      </c>
    </row>
    <row r="7" spans="3:4" x14ac:dyDescent="0.3">
      <c r="C7" s="2" t="s">
        <v>1</v>
      </c>
      <c r="D7" s="12">
        <v>12345678912</v>
      </c>
    </row>
    <row r="8" spans="3:4" x14ac:dyDescent="0.3">
      <c r="C8" s="2" t="s">
        <v>3</v>
      </c>
      <c r="D8" s="13" t="s">
        <v>77</v>
      </c>
    </row>
    <row r="9" spans="3:4" x14ac:dyDescent="0.3">
      <c r="C9" s="2" t="s">
        <v>2</v>
      </c>
      <c r="D9" s="14">
        <v>183919080403</v>
      </c>
    </row>
    <row r="10" spans="3:4" x14ac:dyDescent="0.3">
      <c r="C10" s="2" t="s">
        <v>8</v>
      </c>
      <c r="D10" s="15" t="s">
        <v>78</v>
      </c>
    </row>
    <row r="11" spans="3:4" x14ac:dyDescent="0.3">
      <c r="C11" s="2" t="s">
        <v>73</v>
      </c>
      <c r="D11" s="15" t="s">
        <v>76</v>
      </c>
    </row>
    <row r="12" spans="3:4" x14ac:dyDescent="0.3">
      <c r="C12" s="2" t="s">
        <v>74</v>
      </c>
      <c r="D12" s="15" t="s">
        <v>75</v>
      </c>
    </row>
    <row r="13" spans="3:4" x14ac:dyDescent="0.3">
      <c r="C13" s="2" t="s">
        <v>4</v>
      </c>
      <c r="D13" s="16">
        <v>20221200</v>
      </c>
    </row>
    <row r="14" spans="3:4" x14ac:dyDescent="0.3">
      <c r="C14" s="2" t="s">
        <v>5</v>
      </c>
      <c r="D14" s="17">
        <v>2134343535</v>
      </c>
    </row>
    <row r="15" spans="3:4" x14ac:dyDescent="0.3">
      <c r="C15" s="2" t="s">
        <v>6</v>
      </c>
      <c r="D15" s="18">
        <v>21989898989</v>
      </c>
    </row>
    <row r="16" spans="3:4" x14ac:dyDescent="0.3">
      <c r="C16" s="2" t="s">
        <v>7</v>
      </c>
      <c r="D16" s="19" t="s">
        <v>72</v>
      </c>
    </row>
    <row r="17" spans="3:4" x14ac:dyDescent="0.3">
      <c r="C17" s="2" t="s">
        <v>9</v>
      </c>
      <c r="D17" s="15" t="s">
        <v>14</v>
      </c>
    </row>
    <row r="18" spans="3:4" x14ac:dyDescent="0.3">
      <c r="C18" s="2" t="s">
        <v>10</v>
      </c>
      <c r="D18" s="15" t="s">
        <v>15</v>
      </c>
    </row>
    <row r="19" spans="3:4" x14ac:dyDescent="0.3">
      <c r="C19" s="2" t="s">
        <v>11</v>
      </c>
      <c r="D19" s="15" t="s">
        <v>15</v>
      </c>
    </row>
  </sheetData>
  <sheetProtection sheet="1" objects="1" scenarios="1" selectLockedCells="1"/>
  <dataValidations count="1">
    <dataValidation type="list" allowBlank="1" showInputMessage="1" showErrorMessage="1" sqref="D17:D19" xr:uid="{C9BA7F38-BEA7-445D-A417-E682E8510CAE}">
      <formula1>"SIM,NÃO"</formula1>
    </dataValidation>
  </dataValidations>
  <hyperlinks>
    <hyperlink ref="D16" r:id="rId1" xr:uid="{F0A9DF03-B468-4ADB-9DB8-0EF77835416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5544-EACE-4074-A50F-D48B4355E976}">
  <dimension ref="A3:H22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35.88671875" style="1" customWidth="1"/>
    <col min="3" max="4" width="40.77734375" customWidth="1"/>
    <col min="8" max="8" width="12.5546875" bestFit="1" customWidth="1"/>
  </cols>
  <sheetData>
    <row r="3" spans="3:8" ht="21" thickBot="1" x14ac:dyDescent="0.5">
      <c r="C3" s="3" t="s">
        <v>86</v>
      </c>
    </row>
    <row r="4" spans="3:8" ht="26.4" customHeight="1" thickTop="1" x14ac:dyDescent="0.3">
      <c r="C4" s="5" t="s">
        <v>16</v>
      </c>
      <c r="D4" s="4"/>
    </row>
    <row r="6" spans="3:8" ht="21" thickBot="1" x14ac:dyDescent="0.5">
      <c r="C6" s="8" t="s">
        <v>79</v>
      </c>
      <c r="D6" s="9"/>
    </row>
    <row r="7" spans="3:8" x14ac:dyDescent="0.3">
      <c r="C7" s="29">
        <f>SUM(D11,D16,D21)</f>
        <v>1500000</v>
      </c>
      <c r="D7" s="29"/>
    </row>
    <row r="9" spans="3:8" x14ac:dyDescent="0.3">
      <c r="C9" s="7" t="s">
        <v>80</v>
      </c>
    </row>
    <row r="10" spans="3:8" x14ac:dyDescent="0.3">
      <c r="C10" s="6" t="s">
        <v>17</v>
      </c>
      <c r="D10" s="20" t="s">
        <v>20</v>
      </c>
      <c r="G10" t="str">
        <f>D10</f>
        <v>1 - Banco do Brasil</v>
      </c>
      <c r="H10" s="28">
        <f>D11</f>
        <v>500000</v>
      </c>
    </row>
    <row r="11" spans="3:8" x14ac:dyDescent="0.3">
      <c r="C11" s="2" t="s">
        <v>18</v>
      </c>
      <c r="D11" s="21">
        <v>500000</v>
      </c>
      <c r="G11" t="str">
        <f>D15</f>
        <v>104 - Caixa Econômica Federal</v>
      </c>
      <c r="H11" s="28">
        <f>D16</f>
        <v>600000</v>
      </c>
    </row>
    <row r="12" spans="3:8" x14ac:dyDescent="0.3">
      <c r="C12" s="2" t="s">
        <v>19</v>
      </c>
      <c r="D12" s="22" t="s">
        <v>83</v>
      </c>
      <c r="G12" t="str">
        <f>D20</f>
        <v>341 - Itaú Unibanco</v>
      </c>
      <c r="H12" s="28">
        <f>D21</f>
        <v>400000</v>
      </c>
    </row>
    <row r="14" spans="3:8" x14ac:dyDescent="0.3">
      <c r="C14" s="7" t="s">
        <v>81</v>
      </c>
    </row>
    <row r="15" spans="3:8" x14ac:dyDescent="0.3">
      <c r="C15" s="6" t="s">
        <v>17</v>
      </c>
      <c r="D15" s="20" t="s">
        <v>22</v>
      </c>
    </row>
    <row r="16" spans="3:8" x14ac:dyDescent="0.3">
      <c r="C16" s="2" t="s">
        <v>18</v>
      </c>
      <c r="D16" s="21">
        <v>600000</v>
      </c>
    </row>
    <row r="17" spans="3:4" x14ac:dyDescent="0.3">
      <c r="C17" s="2" t="s">
        <v>19</v>
      </c>
      <c r="D17" s="22" t="s">
        <v>84</v>
      </c>
    </row>
    <row r="19" spans="3:4" x14ac:dyDescent="0.3">
      <c r="C19" s="7" t="s">
        <v>82</v>
      </c>
    </row>
    <row r="20" spans="3:4" x14ac:dyDescent="0.3">
      <c r="C20" s="6" t="s">
        <v>17</v>
      </c>
      <c r="D20" s="20" t="s">
        <v>40</v>
      </c>
    </row>
    <row r="21" spans="3:4" x14ac:dyDescent="0.3">
      <c r="C21" s="2" t="s">
        <v>18</v>
      </c>
      <c r="D21" s="21">
        <v>400000</v>
      </c>
    </row>
    <row r="22" spans="3:4" x14ac:dyDescent="0.3">
      <c r="C22" s="2" t="s">
        <v>19</v>
      </c>
      <c r="D22" s="22" t="s">
        <v>85</v>
      </c>
    </row>
  </sheetData>
  <sheetProtection sheet="1" objects="1" scenarios="1" selectLockedCells="1"/>
  <mergeCells count="1"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promptTitle="Informe um banco" xr:uid="{03A840B8-A04E-447E-BBAD-2C7C26E8AE62}">
          <x14:formula1>
            <xm:f>PLANILHAS!$A$2:$A$51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AAF-7E70-498E-912F-B56D5E4D0B28}">
  <dimension ref="A3:I47"/>
  <sheetViews>
    <sheetView showGridLines="0" showRowColHeaders="0" tabSelected="1" workbookViewId="0">
      <selection activeCell="C10" sqref="C10"/>
    </sheetView>
  </sheetViews>
  <sheetFormatPr defaultRowHeight="14.4" x14ac:dyDescent="0.3"/>
  <cols>
    <col min="1" max="1" width="35.88671875" style="1" customWidth="1"/>
    <col min="3" max="5" width="20.77734375" customWidth="1"/>
    <col min="7" max="9" width="20.77734375" customWidth="1"/>
  </cols>
  <sheetData>
    <row r="3" spans="3:9" ht="21" thickBot="1" x14ac:dyDescent="0.5">
      <c r="C3" s="26" t="s">
        <v>87</v>
      </c>
      <c r="D3" s="27"/>
      <c r="E3" s="27"/>
      <c r="F3" s="27"/>
      <c r="G3" s="27"/>
      <c r="H3" s="27"/>
      <c r="I3" s="27"/>
    </row>
    <row r="4" spans="3:9" ht="26.4" customHeight="1" thickTop="1" x14ac:dyDescent="0.3">
      <c r="C4" s="30" t="s">
        <v>101</v>
      </c>
      <c r="D4" s="30"/>
      <c r="E4" s="30"/>
      <c r="F4" s="30"/>
      <c r="G4" s="30"/>
      <c r="H4" s="30"/>
      <c r="I4" s="30"/>
    </row>
    <row r="8" spans="3:9" ht="21" thickBot="1" x14ac:dyDescent="0.5">
      <c r="C8" s="8" t="s">
        <v>88</v>
      </c>
      <c r="D8" s="8"/>
      <c r="E8" s="8"/>
      <c r="G8" s="8" t="s">
        <v>95</v>
      </c>
      <c r="H8" s="8"/>
      <c r="I8" s="8"/>
    </row>
    <row r="9" spans="3:9" ht="15" thickBot="1" x14ac:dyDescent="0.35">
      <c r="C9" s="10" t="s">
        <v>89</v>
      </c>
      <c r="D9" s="10" t="s">
        <v>90</v>
      </c>
      <c r="E9" s="10" t="s">
        <v>91</v>
      </c>
      <c r="G9" s="10" t="s">
        <v>89</v>
      </c>
      <c r="H9" s="10" t="s">
        <v>90</v>
      </c>
      <c r="I9" s="10" t="s">
        <v>91</v>
      </c>
    </row>
    <row r="10" spans="3:9" ht="15" thickTop="1" x14ac:dyDescent="0.3">
      <c r="C10" s="23">
        <v>45299</v>
      </c>
      <c r="D10" s="24" t="s">
        <v>93</v>
      </c>
      <c r="E10" s="25">
        <v>5000</v>
      </c>
      <c r="G10" s="23">
        <v>45299</v>
      </c>
      <c r="H10" s="24" t="s">
        <v>96</v>
      </c>
      <c r="I10" s="25">
        <v>2000</v>
      </c>
    </row>
    <row r="11" spans="3:9" x14ac:dyDescent="0.3">
      <c r="C11" s="23">
        <v>45301</v>
      </c>
      <c r="D11" s="24" t="s">
        <v>92</v>
      </c>
      <c r="E11" s="25">
        <v>2000</v>
      </c>
      <c r="G11" s="23">
        <v>45301</v>
      </c>
      <c r="H11" s="24" t="s">
        <v>97</v>
      </c>
      <c r="I11" s="25">
        <v>800</v>
      </c>
    </row>
    <row r="12" spans="3:9" x14ac:dyDescent="0.3">
      <c r="C12" s="23">
        <v>45302</v>
      </c>
      <c r="D12" s="24" t="s">
        <v>94</v>
      </c>
      <c r="E12" s="25">
        <v>350</v>
      </c>
      <c r="G12" s="23">
        <v>45302</v>
      </c>
      <c r="H12" s="24" t="s">
        <v>98</v>
      </c>
      <c r="I12" s="25">
        <v>600</v>
      </c>
    </row>
    <row r="13" spans="3:9" x14ac:dyDescent="0.3">
      <c r="C13" s="23">
        <v>45303</v>
      </c>
      <c r="D13" s="24" t="s">
        <v>92</v>
      </c>
      <c r="E13" s="25">
        <v>600</v>
      </c>
      <c r="G13" s="23">
        <v>45303</v>
      </c>
      <c r="H13" s="24" t="s">
        <v>99</v>
      </c>
      <c r="I13" s="25">
        <v>200</v>
      </c>
    </row>
    <row r="14" spans="3:9" x14ac:dyDescent="0.3">
      <c r="C14" s="23">
        <v>45329</v>
      </c>
      <c r="D14" s="24" t="s">
        <v>93</v>
      </c>
      <c r="E14" s="25">
        <v>5000</v>
      </c>
      <c r="G14" s="23">
        <v>45329</v>
      </c>
      <c r="H14" s="24" t="s">
        <v>100</v>
      </c>
      <c r="I14" s="25">
        <v>350</v>
      </c>
    </row>
    <row r="15" spans="3:9" x14ac:dyDescent="0.3">
      <c r="C15" s="23">
        <v>45356</v>
      </c>
      <c r="D15" s="24" t="s">
        <v>93</v>
      </c>
      <c r="E15" s="25">
        <v>5000</v>
      </c>
      <c r="G15" s="23">
        <v>45356</v>
      </c>
      <c r="H15" s="24" t="s">
        <v>98</v>
      </c>
      <c r="I15" s="25">
        <v>2000</v>
      </c>
    </row>
    <row r="16" spans="3:9" x14ac:dyDescent="0.3">
      <c r="C16" s="24"/>
      <c r="D16" s="24"/>
      <c r="E16" s="25"/>
      <c r="G16" s="24"/>
      <c r="H16" s="24"/>
      <c r="I16" s="25"/>
    </row>
    <row r="17" spans="3:9" x14ac:dyDescent="0.3">
      <c r="C17" s="24"/>
      <c r="D17" s="24"/>
      <c r="E17" s="25"/>
      <c r="G17" s="24"/>
      <c r="H17" s="24"/>
      <c r="I17" s="25"/>
    </row>
    <row r="18" spans="3:9" x14ac:dyDescent="0.3">
      <c r="C18" s="24"/>
      <c r="D18" s="24"/>
      <c r="E18" s="25"/>
      <c r="G18" s="24"/>
      <c r="H18" s="24"/>
      <c r="I18" s="25"/>
    </row>
    <row r="19" spans="3:9" x14ac:dyDescent="0.3">
      <c r="C19" s="24"/>
      <c r="D19" s="24"/>
      <c r="E19" s="25"/>
      <c r="G19" s="24"/>
      <c r="H19" s="24"/>
      <c r="I19" s="25"/>
    </row>
    <row r="20" spans="3:9" x14ac:dyDescent="0.3">
      <c r="C20" s="24"/>
      <c r="D20" s="24"/>
      <c r="E20" s="25"/>
      <c r="G20" s="24"/>
      <c r="H20" s="24"/>
      <c r="I20" s="25"/>
    </row>
    <row r="21" spans="3:9" x14ac:dyDescent="0.3">
      <c r="C21" s="24"/>
      <c r="D21" s="24"/>
      <c r="E21" s="25"/>
      <c r="G21" s="24"/>
      <c r="H21" s="24"/>
      <c r="I21" s="25"/>
    </row>
    <row r="22" spans="3:9" x14ac:dyDescent="0.3">
      <c r="C22" s="24"/>
      <c r="D22" s="24"/>
      <c r="E22" s="25"/>
      <c r="G22" s="24"/>
      <c r="H22" s="24"/>
      <c r="I22" s="25"/>
    </row>
    <row r="23" spans="3:9" x14ac:dyDescent="0.3">
      <c r="C23" s="24"/>
      <c r="D23" s="24"/>
      <c r="E23" s="25"/>
      <c r="G23" s="24"/>
      <c r="H23" s="24"/>
      <c r="I23" s="25"/>
    </row>
    <row r="24" spans="3:9" x14ac:dyDescent="0.3">
      <c r="C24" s="24"/>
      <c r="D24" s="24"/>
      <c r="E24" s="25"/>
      <c r="G24" s="24"/>
      <c r="H24" s="24"/>
      <c r="I24" s="25"/>
    </row>
    <row r="25" spans="3:9" x14ac:dyDescent="0.3">
      <c r="C25" s="24"/>
      <c r="D25" s="24"/>
      <c r="E25" s="25"/>
      <c r="G25" s="24"/>
      <c r="H25" s="24"/>
      <c r="I25" s="25"/>
    </row>
    <row r="26" spans="3:9" x14ac:dyDescent="0.3">
      <c r="C26" s="24"/>
      <c r="D26" s="24"/>
      <c r="E26" s="25"/>
      <c r="G26" s="24"/>
      <c r="H26" s="24"/>
      <c r="I26" s="25"/>
    </row>
    <row r="27" spans="3:9" x14ac:dyDescent="0.3">
      <c r="C27" s="24"/>
      <c r="D27" s="24"/>
      <c r="E27" s="25"/>
      <c r="G27" s="24"/>
      <c r="H27" s="24"/>
      <c r="I27" s="25"/>
    </row>
    <row r="28" spans="3:9" x14ac:dyDescent="0.3">
      <c r="C28" s="24"/>
      <c r="D28" s="24"/>
      <c r="E28" s="25"/>
      <c r="G28" s="24"/>
      <c r="H28" s="24"/>
      <c r="I28" s="25"/>
    </row>
    <row r="29" spans="3:9" x14ac:dyDescent="0.3">
      <c r="C29" s="24"/>
      <c r="D29" s="24"/>
      <c r="E29" s="25"/>
      <c r="G29" s="24"/>
      <c r="H29" s="24"/>
      <c r="I29" s="25"/>
    </row>
    <row r="30" spans="3:9" x14ac:dyDescent="0.3">
      <c r="C30" s="24"/>
      <c r="D30" s="24"/>
      <c r="E30" s="25"/>
      <c r="G30" s="24"/>
      <c r="H30" s="24"/>
      <c r="I30" s="25"/>
    </row>
    <row r="31" spans="3:9" x14ac:dyDescent="0.3">
      <c r="C31" s="24"/>
      <c r="D31" s="24"/>
      <c r="E31" s="25"/>
      <c r="G31" s="24"/>
      <c r="H31" s="24"/>
      <c r="I31" s="25"/>
    </row>
    <row r="32" spans="3:9" x14ac:dyDescent="0.3">
      <c r="C32" s="24"/>
      <c r="D32" s="24"/>
      <c r="E32" s="25"/>
      <c r="G32" s="24"/>
      <c r="H32" s="24"/>
      <c r="I32" s="25"/>
    </row>
    <row r="33" spans="3:9" x14ac:dyDescent="0.3">
      <c r="C33" s="24"/>
      <c r="D33" s="24"/>
      <c r="E33" s="25"/>
      <c r="G33" s="24"/>
      <c r="H33" s="24"/>
      <c r="I33" s="25"/>
    </row>
    <row r="34" spans="3:9" x14ac:dyDescent="0.3">
      <c r="C34" s="24"/>
      <c r="D34" s="24"/>
      <c r="E34" s="25"/>
      <c r="G34" s="24"/>
      <c r="H34" s="24"/>
      <c r="I34" s="25"/>
    </row>
    <row r="35" spans="3:9" x14ac:dyDescent="0.3">
      <c r="C35" s="24"/>
      <c r="D35" s="24"/>
      <c r="E35" s="25"/>
      <c r="G35" s="24"/>
      <c r="H35" s="24"/>
      <c r="I35" s="25"/>
    </row>
    <row r="36" spans="3:9" x14ac:dyDescent="0.3">
      <c r="C36" s="24"/>
      <c r="D36" s="24"/>
      <c r="E36" s="25"/>
      <c r="G36" s="24"/>
      <c r="H36" s="24"/>
      <c r="I36" s="25"/>
    </row>
    <row r="37" spans="3:9" x14ac:dyDescent="0.3">
      <c r="C37" s="24"/>
      <c r="D37" s="24"/>
      <c r="E37" s="25"/>
      <c r="G37" s="24"/>
      <c r="H37" s="24"/>
      <c r="I37" s="25"/>
    </row>
    <row r="38" spans="3:9" x14ac:dyDescent="0.3">
      <c r="C38" s="24"/>
      <c r="D38" s="24"/>
      <c r="E38" s="25"/>
      <c r="G38" s="24"/>
      <c r="H38" s="24"/>
      <c r="I38" s="25"/>
    </row>
    <row r="39" spans="3:9" x14ac:dyDescent="0.3">
      <c r="C39" s="24"/>
      <c r="D39" s="24"/>
      <c r="E39" s="25"/>
      <c r="G39" s="24"/>
      <c r="H39" s="24"/>
      <c r="I39" s="25"/>
    </row>
    <row r="40" spans="3:9" x14ac:dyDescent="0.3">
      <c r="C40" s="24"/>
      <c r="D40" s="24"/>
      <c r="E40" s="25"/>
      <c r="G40" s="24"/>
      <c r="H40" s="24"/>
      <c r="I40" s="25"/>
    </row>
    <row r="41" spans="3:9" x14ac:dyDescent="0.3">
      <c r="C41" s="24"/>
      <c r="D41" s="24"/>
      <c r="E41" s="25"/>
      <c r="G41" s="24"/>
      <c r="H41" s="24"/>
      <c r="I41" s="25"/>
    </row>
    <row r="42" spans="3:9" x14ac:dyDescent="0.3">
      <c r="C42" s="24"/>
      <c r="D42" s="24"/>
      <c r="E42" s="25"/>
      <c r="G42" s="24"/>
      <c r="H42" s="24"/>
      <c r="I42" s="25"/>
    </row>
    <row r="43" spans="3:9" x14ac:dyDescent="0.3">
      <c r="C43" s="24"/>
      <c r="D43" s="24"/>
      <c r="E43" s="25"/>
      <c r="G43" s="24"/>
      <c r="H43" s="24"/>
      <c r="I43" s="25"/>
    </row>
    <row r="44" spans="3:9" x14ac:dyDescent="0.3">
      <c r="C44" s="24"/>
      <c r="D44" s="24"/>
      <c r="E44" s="25"/>
      <c r="G44" s="24"/>
      <c r="H44" s="24"/>
      <c r="I44" s="25"/>
    </row>
    <row r="45" spans="3:9" x14ac:dyDescent="0.3">
      <c r="C45" s="24"/>
      <c r="D45" s="24"/>
      <c r="E45" s="25"/>
      <c r="G45" s="24"/>
      <c r="H45" s="24"/>
      <c r="I45" s="25"/>
    </row>
    <row r="46" spans="3:9" x14ac:dyDescent="0.3">
      <c r="C46" s="24"/>
      <c r="D46" s="24"/>
      <c r="E46" s="25"/>
      <c r="G46" s="24"/>
      <c r="H46" s="24"/>
      <c r="I46" s="25"/>
    </row>
    <row r="47" spans="3:9" x14ac:dyDescent="0.3">
      <c r="C47" s="24"/>
      <c r="D47" s="24"/>
      <c r="E47" s="25"/>
      <c r="G47" s="24"/>
      <c r="H47" s="24"/>
      <c r="I47" s="25"/>
    </row>
  </sheetData>
  <sheetProtection sheet="1" objects="1" scenarios="1" selectLockedCells="1"/>
  <mergeCells count="1">
    <mergeCell ref="C4:I4"/>
  </mergeCells>
  <dataValidations count="2">
    <dataValidation type="list" allowBlank="1" showInputMessage="1" showErrorMessage="1" sqref="D10:D47 H16:H47" xr:uid="{AFB30496-67C3-4258-81E0-FDFFE0C07D6A}">
      <formula1>"HOLERITE,CNPJ,FREELANCE"</formula1>
    </dataValidation>
    <dataValidation type="list" allowBlank="1" showInputMessage="1" showErrorMessage="1" sqref="H10:H15" xr:uid="{E288A49B-88B4-42FB-9F27-CE9ADB136D0C}">
      <formula1>"MORADIA,ALIMENTAÇÃO,TRANSPORTE,SAÚDE,HIGIENE,LAZER,ASSINATURAS,INVESTIMENTOS"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4A15-31D2-4379-9E4B-BD674F16BDF7}">
  <dimension ref="A1:A51"/>
  <sheetViews>
    <sheetView showGridLines="0" workbookViewId="0">
      <selection activeCell="D7" sqref="D7"/>
    </sheetView>
  </sheetViews>
  <sheetFormatPr defaultRowHeight="14.4" x14ac:dyDescent="0.3"/>
  <cols>
    <col min="1" max="1" width="36.21875" bestFit="1" customWidth="1"/>
  </cols>
  <sheetData>
    <row r="1" spans="1:1" x14ac:dyDescent="0.3">
      <c r="A1" t="s">
        <v>70</v>
      </c>
    </row>
    <row r="2" spans="1:1" x14ac:dyDescent="0.3">
      <c r="A2" t="s">
        <v>20</v>
      </c>
    </row>
    <row r="3" spans="1:1" x14ac:dyDescent="0.3">
      <c r="A3" t="s">
        <v>21</v>
      </c>
    </row>
    <row r="4" spans="1:1" x14ac:dyDescent="0.3">
      <c r="A4" t="s">
        <v>22</v>
      </c>
    </row>
    <row r="5" spans="1:1" x14ac:dyDescent="0.3">
      <c r="A5" t="s">
        <v>23</v>
      </c>
    </row>
    <row r="6" spans="1:1" x14ac:dyDescent="0.3">
      <c r="A6" t="s">
        <v>24</v>
      </c>
    </row>
    <row r="7" spans="1:1" x14ac:dyDescent="0.3">
      <c r="A7" t="s">
        <v>25</v>
      </c>
    </row>
    <row r="8" spans="1:1" x14ac:dyDescent="0.3">
      <c r="A8" t="s">
        <v>26</v>
      </c>
    </row>
    <row r="9" spans="1:1" x14ac:dyDescent="0.3">
      <c r="A9" t="s">
        <v>27</v>
      </c>
    </row>
    <row r="10" spans="1:1" x14ac:dyDescent="0.3">
      <c r="A10" t="s">
        <v>28</v>
      </c>
    </row>
    <row r="11" spans="1:1" x14ac:dyDescent="0.3">
      <c r="A11" t="s">
        <v>29</v>
      </c>
    </row>
    <row r="12" spans="1:1" x14ac:dyDescent="0.3">
      <c r="A12" t="s">
        <v>30</v>
      </c>
    </row>
    <row r="13" spans="1:1" x14ac:dyDescent="0.3">
      <c r="A13" t="s">
        <v>31</v>
      </c>
    </row>
    <row r="14" spans="1:1" x14ac:dyDescent="0.3">
      <c r="A14" t="s">
        <v>32</v>
      </c>
    </row>
    <row r="15" spans="1:1" x14ac:dyDescent="0.3">
      <c r="A15" t="s">
        <v>33</v>
      </c>
    </row>
    <row r="16" spans="1:1" x14ac:dyDescent="0.3">
      <c r="A16" t="s">
        <v>34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  <row r="23" spans="1:1" x14ac:dyDescent="0.3">
      <c r="A23" t="s">
        <v>41</v>
      </c>
    </row>
    <row r="24" spans="1:1" x14ac:dyDescent="0.3">
      <c r="A24" t="s">
        <v>42</v>
      </c>
    </row>
    <row r="25" spans="1:1" x14ac:dyDescent="0.3">
      <c r="A25" t="s">
        <v>43</v>
      </c>
    </row>
    <row r="26" spans="1:1" x14ac:dyDescent="0.3">
      <c r="A26" t="s">
        <v>44</v>
      </c>
    </row>
    <row r="27" spans="1:1" x14ac:dyDescent="0.3">
      <c r="A27" t="s">
        <v>45</v>
      </c>
    </row>
    <row r="28" spans="1:1" x14ac:dyDescent="0.3">
      <c r="A28" t="s">
        <v>46</v>
      </c>
    </row>
    <row r="29" spans="1:1" x14ac:dyDescent="0.3">
      <c r="A29" t="s">
        <v>47</v>
      </c>
    </row>
    <row r="30" spans="1:1" x14ac:dyDescent="0.3">
      <c r="A30" t="s">
        <v>48</v>
      </c>
    </row>
    <row r="31" spans="1:1" x14ac:dyDescent="0.3">
      <c r="A31" t="s">
        <v>49</v>
      </c>
    </row>
    <row r="32" spans="1:1" x14ac:dyDescent="0.3">
      <c r="A32" t="s">
        <v>50</v>
      </c>
    </row>
    <row r="33" spans="1:1" x14ac:dyDescent="0.3">
      <c r="A33" t="s">
        <v>51</v>
      </c>
    </row>
    <row r="34" spans="1:1" x14ac:dyDescent="0.3">
      <c r="A34" t="s">
        <v>52</v>
      </c>
    </row>
    <row r="35" spans="1:1" x14ac:dyDescent="0.3">
      <c r="A35" t="s">
        <v>53</v>
      </c>
    </row>
    <row r="36" spans="1:1" x14ac:dyDescent="0.3">
      <c r="A36" t="s">
        <v>54</v>
      </c>
    </row>
    <row r="37" spans="1:1" x14ac:dyDescent="0.3">
      <c r="A37" t="s">
        <v>55</v>
      </c>
    </row>
    <row r="38" spans="1:1" x14ac:dyDescent="0.3">
      <c r="A38" t="s">
        <v>56</v>
      </c>
    </row>
    <row r="39" spans="1:1" x14ac:dyDescent="0.3">
      <c r="A39" t="s">
        <v>57</v>
      </c>
    </row>
    <row r="40" spans="1:1" x14ac:dyDescent="0.3">
      <c r="A40" t="s">
        <v>58</v>
      </c>
    </row>
    <row r="41" spans="1:1" x14ac:dyDescent="0.3">
      <c r="A41" t="s">
        <v>59</v>
      </c>
    </row>
    <row r="42" spans="1:1" x14ac:dyDescent="0.3">
      <c r="A42" t="s">
        <v>60</v>
      </c>
    </row>
    <row r="43" spans="1:1" x14ac:dyDescent="0.3">
      <c r="A43" t="s">
        <v>61</v>
      </c>
    </row>
    <row r="44" spans="1:1" x14ac:dyDescent="0.3">
      <c r="A44" t="s">
        <v>62</v>
      </c>
    </row>
    <row r="45" spans="1:1" x14ac:dyDescent="0.3">
      <c r="A45" t="s">
        <v>63</v>
      </c>
    </row>
    <row r="46" spans="1:1" x14ac:dyDescent="0.3">
      <c r="A46" t="s">
        <v>64</v>
      </c>
    </row>
    <row r="47" spans="1:1" x14ac:dyDescent="0.3">
      <c r="A47" t="s">
        <v>65</v>
      </c>
    </row>
    <row r="48" spans="1:1" x14ac:dyDescent="0.3">
      <c r="A48" t="s">
        <v>66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Vasconcelos</dc:creator>
  <cp:lastModifiedBy>Alexandre Vasconcelos</cp:lastModifiedBy>
  <dcterms:created xsi:type="dcterms:W3CDTF">2015-06-05T18:19:34Z</dcterms:created>
  <dcterms:modified xsi:type="dcterms:W3CDTF">2026-01-12T18:23:51Z</dcterms:modified>
</cp:coreProperties>
</file>