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clar\Downloads\"/>
    </mc:Choice>
  </mc:AlternateContent>
  <xr:revisionPtr revIDLastSave="0" documentId="13_ncr:1_{430B3B11-0D23-409A-B2FD-7D36AACC4B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mulação de Investimento" sheetId="1" r:id="rId1"/>
    <sheet name="Dados do Perfil" sheetId="2" r:id="rId2"/>
  </sheets>
  <definedNames>
    <definedName name="_xlnm._FilterDatabase" localSheetId="1" hidden="1">'Dados do Perfil'!$B$2:$D$20</definedName>
    <definedName name="Aporte">'Simulação de Investimento'!$J$18</definedName>
    <definedName name="Qtd_Anos">'Simulação de Investimento'!$J$19</definedName>
    <definedName name="Rendimento_Carteira">'Simulação de Investimento'!$J$14</definedName>
    <definedName name="Salario">'Simulação de Investimento'!$J$13</definedName>
    <definedName name="Sugestao_investimento">'Simulação de Investimento'!$J$15</definedName>
    <definedName name="Taxa_Mensal">'Simulação de Investimento'!$J$20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1" l="1" a="1"/>
  <c r="I36" i="1" s="1"/>
  <c r="I37" i="1" a="1"/>
  <c r="I37" i="1" s="1"/>
  <c r="I38" i="1" a="1"/>
  <c r="I38" i="1" s="1"/>
  <c r="I39" i="1" a="1"/>
  <c r="I39" i="1" s="1"/>
  <c r="I40" i="1" a="1"/>
  <c r="I40" i="1" s="1"/>
  <c r="I35" i="1" a="1"/>
  <c r="I35" i="1" s="1"/>
  <c r="J35" i="1" s="1"/>
  <c r="J15" i="1"/>
  <c r="I29" i="1"/>
  <c r="J29" i="1" s="1"/>
  <c r="I28" i="1"/>
  <c r="J28" i="1" s="1"/>
  <c r="I27" i="1"/>
  <c r="J27" i="1" s="1"/>
  <c r="I26" i="1"/>
  <c r="J26" i="1" s="1"/>
  <c r="I25" i="1"/>
  <c r="J25" i="1" s="1"/>
  <c r="J32" i="1"/>
  <c r="J21" i="1"/>
  <c r="J22" i="1" s="1"/>
  <c r="J39" i="1" l="1"/>
  <c r="J37" i="1"/>
  <c r="J38" i="1"/>
  <c r="J36" i="1"/>
  <c r="J40" i="1" s="1"/>
  <c r="J4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<sst xmlns="http://schemas.openxmlformats.org/spreadsheetml/2006/main" count="75" uniqueCount="33">
  <si>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</si>
  <si>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</si>
  <si>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</si>
  <si>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</si>
  <si>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</si>
  <si>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</si>
  <si>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CENÁRIOS</t>
  </si>
  <si>
    <t>Quanto em 2 anos?</t>
  </si>
  <si>
    <t>Quanto em 5 anos?</t>
  </si>
  <si>
    <t>Quanto em 10 anos?</t>
  </si>
  <si>
    <t>Quanto em 20 anos?</t>
  </si>
  <si>
    <t>Quanto em 30 anos?</t>
  </si>
  <si>
    <t>Dividendos</t>
  </si>
  <si>
    <t>CONFIGURAÇÕES</t>
  </si>
  <si>
    <t>Salário</t>
  </si>
  <si>
    <t>Rendimento Carteira</t>
  </si>
  <si>
    <t>Sugestões de Investimento</t>
  </si>
  <si>
    <t>PERFIL</t>
  </si>
  <si>
    <t>Valor a ser investido por mês</t>
  </si>
  <si>
    <t>Papel</t>
  </si>
  <si>
    <t>Tijolo</t>
  </si>
  <si>
    <t>Híbridos</t>
  </si>
  <si>
    <t>FOFs</t>
  </si>
  <si>
    <t>Desenvolvimento</t>
  </si>
  <si>
    <t>Hotelaria</t>
  </si>
  <si>
    <t>Percentual Sugerido</t>
  </si>
  <si>
    <t>Valores</t>
  </si>
  <si>
    <t>Tipos de FI</t>
  </si>
  <si>
    <t>Moderado</t>
  </si>
  <si>
    <t>Perfil</t>
  </si>
  <si>
    <t>Conservador</t>
  </si>
  <si>
    <t>Agressivo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</si>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</sst>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&quot;R$&quot;\ #,##0.00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Segoe UI Black"/>
      <family val="2"/>
    </font>
    <font>
      <sz val="10"/>
      <color theme="1"/>
      <name val="Segoe UI Historic"/>
      <family val="2"/>
    </font>
    <font>
      <b/>
      <sz val="10"/>
      <color theme="0"/>
      <name val="Segoe UI Historic"/>
      <family val="2"/>
    </font>
    <font>
      <b/>
      <sz val="10"/>
      <color theme="0"/>
      <name val="Segoe UI Variable Small Semibol"/>
    </font>
    <font>
      <sz val="10"/>
      <color theme="0"/>
      <name val="Segoe UI Variable Small Semibol"/>
    </font>
    <font>
      <b/>
      <sz val="10"/>
      <color theme="0"/>
      <name val="Segoe UI Variable Display Semib"/>
    </font>
    <font>
      <sz val="10"/>
      <color theme="1"/>
      <name val="Calibri"/>
      <family val="2"/>
      <scheme val="minor"/>
    </font>
    <font>
      <sz val="10"/>
      <color theme="0"/>
      <name val="Segoe UI Variable Display Semib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166A6A"/>
        <bgColor indexed="64"/>
      </patternFill>
    </fill>
    <fill>
      <patternFill patternType="solid">
        <fgColor rgb="FF29DF8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3C3E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168163"/>
        <bgColor indexed="64"/>
      </patternFill>
    </fill>
    <fill>
      <patternFill patternType="solid">
        <fgColor theme="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medium">
        <color indexed="64"/>
      </right>
      <top/>
      <bottom style="thin">
        <color theme="2"/>
      </bottom>
      <diagonal/>
    </border>
    <border>
      <left style="thin">
        <color theme="2"/>
      </left>
      <right style="medium">
        <color indexed="64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medium">
        <color indexed="64"/>
      </right>
      <top style="thin">
        <color theme="2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 style="medium">
        <color indexed="64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thin">
        <color theme="2"/>
      </top>
      <bottom style="medium">
        <color indexed="64"/>
      </bottom>
      <diagonal/>
    </border>
    <border>
      <left/>
      <right/>
      <top style="thin">
        <color theme="2"/>
      </top>
      <bottom style="medium">
        <color indexed="64"/>
      </bottom>
      <diagonal/>
    </border>
    <border>
      <left style="thin">
        <color theme="2"/>
      </left>
      <right style="thin">
        <color theme="2"/>
      </right>
      <top/>
      <bottom style="medium">
        <color indexed="64"/>
      </bottom>
      <diagonal/>
    </border>
    <border>
      <left style="thin">
        <color theme="2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/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medium">
        <color indexed="64"/>
      </bottom>
      <diagonal/>
    </border>
    <border>
      <left style="medium">
        <color indexed="64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indexed="64"/>
      </left>
      <right/>
      <top style="thin">
        <color theme="2" tint="-9.9948118533890809E-2"/>
      </top>
      <bottom style="medium">
        <color indexed="64"/>
      </bottom>
      <diagonal/>
    </border>
    <border>
      <left/>
      <right/>
      <top style="thin">
        <color theme="2" tint="-9.9948118533890809E-2"/>
      </top>
      <bottom style="medium">
        <color indexed="64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/>
      <diagonal/>
    </border>
    <border>
      <left style="medium">
        <color indexed="64"/>
      </left>
      <right style="thin">
        <color theme="0" tint="-4.9989318521683403E-2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medium">
        <color indexed="64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9">
    <xf numFmtId="0" fontId="0" fillId="0" borderId="0" xfId="0"/>
    <xf numFmtId="0" fontId="4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4" fillId="4" borderId="1" xfId="0" applyFont="1" applyFill="1" applyBorder="1"/>
    <xf numFmtId="0" fontId="3" fillId="4" borderId="2" xfId="0" applyFont="1" applyFill="1" applyBorder="1"/>
    <xf numFmtId="0" fontId="3" fillId="0" borderId="0" xfId="0" applyFont="1"/>
    <xf numFmtId="0" fontId="7" fillId="4" borderId="3" xfId="0" applyFont="1" applyFill="1" applyBorder="1" applyAlignment="1">
      <alignment horizontal="center"/>
    </xf>
    <xf numFmtId="0" fontId="4" fillId="6" borderId="1" xfId="0" applyFont="1" applyFill="1" applyBorder="1"/>
    <xf numFmtId="0" fontId="3" fillId="6" borderId="2" xfId="0" applyFont="1" applyFill="1" applyBorder="1"/>
    <xf numFmtId="0" fontId="3" fillId="6" borderId="3" xfId="0" applyFont="1" applyFill="1" applyBorder="1"/>
    <xf numFmtId="164" fontId="5" fillId="0" borderId="5" xfId="0" applyNumberFormat="1" applyFont="1" applyBorder="1" applyAlignment="1">
      <alignment horizontal="center"/>
    </xf>
    <xf numFmtId="10" fontId="5" fillId="0" borderId="6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8" fontId="5" fillId="5" borderId="6" xfId="0" applyNumberFormat="1" applyFont="1" applyFill="1" applyBorder="1" applyAlignment="1">
      <alignment horizontal="center"/>
    </xf>
    <xf numFmtId="8" fontId="5" fillId="5" borderId="7" xfId="0" applyNumberFormat="1" applyFont="1" applyFill="1" applyBorder="1" applyAlignment="1">
      <alignment horizontal="center"/>
    </xf>
    <xf numFmtId="8" fontId="5" fillId="5" borderId="4" xfId="0" applyNumberFormat="1" applyFont="1" applyFill="1" applyBorder="1" applyAlignment="1">
      <alignment horizontal="center"/>
    </xf>
    <xf numFmtId="164" fontId="5" fillId="5" borderId="5" xfId="0" applyNumberFormat="1" applyFont="1" applyFill="1" applyBorder="1" applyAlignment="1">
      <alignment horizontal="center"/>
    </xf>
    <xf numFmtId="8" fontId="5" fillId="5" borderId="14" xfId="0" applyNumberFormat="1" applyFont="1" applyFill="1" applyBorder="1" applyAlignment="1">
      <alignment horizontal="center"/>
    </xf>
    <xf numFmtId="164" fontId="5" fillId="5" borderId="15" xfId="0" applyNumberFormat="1" applyFont="1" applyFill="1" applyBorder="1" applyAlignment="1">
      <alignment horizontal="center"/>
    </xf>
    <xf numFmtId="0" fontId="5" fillId="5" borderId="0" xfId="0" applyFont="1" applyFill="1"/>
    <xf numFmtId="0" fontId="4" fillId="8" borderId="1" xfId="2" applyFont="1" applyFill="1" applyBorder="1"/>
    <xf numFmtId="0" fontId="3" fillId="8" borderId="2" xfId="2" applyFont="1" applyFill="1" applyBorder="1"/>
    <xf numFmtId="0" fontId="3" fillId="8" borderId="2" xfId="0" applyFont="1" applyFill="1" applyBorder="1"/>
    <xf numFmtId="0" fontId="8" fillId="8" borderId="3" xfId="2" applyFont="1" applyFill="1" applyBorder="1"/>
    <xf numFmtId="0" fontId="9" fillId="7" borderId="20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/>
    </xf>
    <xf numFmtId="9" fontId="5" fillId="0" borderId="20" xfId="1" applyFont="1" applyBorder="1" applyAlignment="1">
      <alignment horizontal="center"/>
    </xf>
    <xf numFmtId="164" fontId="6" fillId="7" borderId="22" xfId="0" applyNumberFormat="1" applyFont="1" applyFill="1" applyBorder="1" applyAlignment="1">
      <alignment horizontal="center"/>
    </xf>
    <xf numFmtId="164" fontId="5" fillId="5" borderId="21" xfId="0" applyNumberFormat="1" applyFont="1" applyFill="1" applyBorder="1" applyAlignment="1">
      <alignment horizontal="center"/>
    </xf>
    <xf numFmtId="164" fontId="5" fillId="5" borderId="18" xfId="0" applyNumberFormat="1" applyFont="1" applyFill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5" fillId="7" borderId="26" xfId="0" applyFont="1" applyFill="1" applyBorder="1" applyAlignment="1">
      <alignment horizontal="center"/>
    </xf>
    <xf numFmtId="0" fontId="5" fillId="7" borderId="27" xfId="0" applyFont="1" applyFill="1" applyBorder="1" applyAlignment="1">
      <alignment horizontal="center"/>
    </xf>
    <xf numFmtId="0" fontId="5" fillId="7" borderId="28" xfId="0" applyFont="1" applyFill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5" fillId="5" borderId="16" xfId="0" applyFont="1" applyFill="1" applyBorder="1" applyAlignment="1">
      <alignment horizontal="left" indent="3"/>
    </xf>
    <xf numFmtId="0" fontId="5" fillId="5" borderId="17" xfId="0" applyFont="1" applyFill="1" applyBorder="1" applyAlignment="1">
      <alignment horizontal="left" indent="3"/>
    </xf>
    <xf numFmtId="0" fontId="9" fillId="7" borderId="19" xfId="0" applyFont="1" applyFill="1" applyBorder="1" applyAlignment="1">
      <alignment horizontal="center"/>
    </xf>
    <xf numFmtId="0" fontId="9" fillId="7" borderId="20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left" indent="3"/>
    </xf>
    <xf numFmtId="0" fontId="5" fillId="5" borderId="9" xfId="0" applyFont="1" applyFill="1" applyBorder="1" applyAlignment="1">
      <alignment horizontal="left" indent="3"/>
    </xf>
    <xf numFmtId="0" fontId="5" fillId="5" borderId="10" xfId="0" applyFont="1" applyFill="1" applyBorder="1" applyAlignment="1">
      <alignment horizontal="left" indent="3"/>
    </xf>
    <xf numFmtId="0" fontId="5" fillId="5" borderId="11" xfId="0" applyFont="1" applyFill="1" applyBorder="1" applyAlignment="1">
      <alignment horizontal="left" indent="3"/>
    </xf>
    <xf numFmtId="0" fontId="5" fillId="5" borderId="12" xfId="0" applyFont="1" applyFill="1" applyBorder="1" applyAlignment="1">
      <alignment horizontal="left" indent="3"/>
    </xf>
    <xf numFmtId="0" fontId="5" fillId="5" borderId="13" xfId="0" applyFont="1" applyFill="1" applyBorder="1" applyAlignment="1">
      <alignment horizontal="left" indent="3"/>
    </xf>
    <xf numFmtId="0" fontId="10" fillId="0" borderId="0" xfId="0" applyFont="1"/>
    <xf numFmtId="165" fontId="5" fillId="0" borderId="34" xfId="1" applyNumberFormat="1" applyFont="1" applyBorder="1" applyAlignment="1">
      <alignment horizontal="center"/>
    </xf>
    <xf numFmtId="165" fontId="5" fillId="0" borderId="37" xfId="1" applyNumberFormat="1" applyFont="1" applyBorder="1" applyAlignment="1">
      <alignment horizontal="center"/>
    </xf>
    <xf numFmtId="165" fontId="5" fillId="0" borderId="31" xfId="1" applyNumberFormat="1" applyFont="1" applyBorder="1" applyAlignment="1">
      <alignment horizontal="center"/>
    </xf>
    <xf numFmtId="0" fontId="5" fillId="9" borderId="33" xfId="0" applyFont="1" applyFill="1" applyBorder="1" applyAlignment="1">
      <alignment horizontal="center"/>
    </xf>
    <xf numFmtId="0" fontId="5" fillId="9" borderId="42" xfId="0" applyFont="1" applyFill="1" applyBorder="1" applyAlignment="1">
      <alignment horizontal="center"/>
    </xf>
    <xf numFmtId="165" fontId="5" fillId="0" borderId="43" xfId="1" applyNumberFormat="1" applyFont="1" applyBorder="1" applyAlignment="1">
      <alignment horizontal="center"/>
    </xf>
    <xf numFmtId="0" fontId="5" fillId="9" borderId="36" xfId="0" applyFont="1" applyFill="1" applyBorder="1" applyAlignment="1">
      <alignment horizontal="center"/>
    </xf>
    <xf numFmtId="0" fontId="5" fillId="9" borderId="30" xfId="0" applyFont="1" applyFill="1" applyBorder="1" applyAlignment="1">
      <alignment horizontal="center"/>
    </xf>
    <xf numFmtId="0" fontId="5" fillId="9" borderId="39" xfId="0" applyFont="1" applyFill="1" applyBorder="1" applyAlignment="1">
      <alignment horizontal="center"/>
    </xf>
    <xf numFmtId="165" fontId="5" fillId="0" borderId="40" xfId="1" applyNumberFormat="1" applyFont="1" applyBorder="1" applyAlignment="1">
      <alignment horizontal="center"/>
    </xf>
    <xf numFmtId="0" fontId="5" fillId="9" borderId="32" xfId="0" applyFont="1" applyFill="1" applyBorder="1" applyAlignment="1">
      <alignment horizontal="center"/>
    </xf>
    <xf numFmtId="0" fontId="5" fillId="9" borderId="41" xfId="0" applyFont="1" applyFill="1" applyBorder="1" applyAlignment="1">
      <alignment horizontal="center"/>
    </xf>
    <xf numFmtId="0" fontId="5" fillId="9" borderId="29" xfId="0" applyFont="1" applyFill="1" applyBorder="1" applyAlignment="1">
      <alignment horizontal="center"/>
    </xf>
    <xf numFmtId="0" fontId="5" fillId="9" borderId="35" xfId="0" applyFont="1" applyFill="1" applyBorder="1" applyAlignment="1">
      <alignment horizontal="center"/>
    </xf>
    <xf numFmtId="0" fontId="5" fillId="9" borderId="38" xfId="0" applyFont="1" applyFill="1" applyBorder="1" applyAlignment="1">
      <alignment horizontal="center"/>
    </xf>
    <xf numFmtId="0" fontId="11" fillId="7" borderId="1" xfId="2" applyFont="1" applyFill="1" applyBorder="1" applyAlignment="1">
      <alignment horizontal="center"/>
    </xf>
    <xf numFmtId="0" fontId="11" fillId="7" borderId="2" xfId="2" applyFont="1" applyFill="1" applyBorder="1" applyAlignment="1">
      <alignment horizontal="center"/>
    </xf>
    <xf numFmtId="0" fontId="11" fillId="7" borderId="3" xfId="2" applyFont="1" applyFill="1" applyBorder="1" applyAlignment="1">
      <alignment horizontal="center"/>
    </xf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168163"/>
      <color rgb="FF73C3E7"/>
      <color rgb="FF29DF8E"/>
      <color rgb="FF166A6A"/>
      <color rgb="FF093E44"/>
      <color rgb="FF25698B"/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Segoe UI Historic" panose="020B0502040204020203" pitchFamily="34" charset="0"/>
              </a:defRPr>
            </a:pPr>
            <a:r>
              <a:rPr lang="en-US">
                <a:latin typeface="Segoe UI Black" panose="020B0A02040204020203" pitchFamily="34" charset="0"/>
                <a:ea typeface="Segoe UI Black" panose="020B0A02040204020203" pitchFamily="34" charset="0"/>
                <a:cs typeface="Segoe UI Historic" panose="020B0502040204020203" pitchFamily="34" charset="0"/>
              </a:rPr>
              <a:t>PERCENTUAL SUGERIDO POR</a:t>
            </a:r>
            <a:r>
              <a:rPr lang="en-US" baseline="0">
                <a:latin typeface="Segoe UI Black" panose="020B0A02040204020203" pitchFamily="34" charset="0"/>
                <a:ea typeface="Segoe UI Black" panose="020B0A02040204020203" pitchFamily="34" charset="0"/>
                <a:cs typeface="Segoe UI Historic" panose="020B0502040204020203" pitchFamily="34" charset="0"/>
              </a:rPr>
              <a:t> TIPO DE FI</a:t>
            </a:r>
            <a:endParaRPr lang="en-US">
              <a:latin typeface="Segoe UI Black" panose="020B0A02040204020203" pitchFamily="34" charset="0"/>
              <a:ea typeface="Segoe UI Black" panose="020B0A02040204020203" pitchFamily="34" charset="0"/>
              <a:cs typeface="Segoe UI Historic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Black" panose="020B0A02040204020203" pitchFamily="34" charset="0"/>
              <a:ea typeface="Segoe UI Black" panose="020B0A02040204020203" pitchFamily="34" charset="0"/>
              <a:cs typeface="Segoe UI Historic" panose="020B0502040204020203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'Simulação de Investimento'!$I$34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63-4166-A5B1-BD9B59C0D292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63-4166-A5B1-BD9B59C0D292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663-4166-A5B1-BD9B59C0D292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663-4166-A5B1-BD9B59C0D292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663-4166-A5B1-BD9B59C0D292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663-4166-A5B1-BD9B59C0D2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Segoe UI Historic" panose="020B0502040204020203" pitchFamily="34" charset="0"/>
                    <a:ea typeface="Segoe UI Historic" panose="020B0502040204020203" pitchFamily="34" charset="0"/>
                    <a:cs typeface="Segoe UI Historic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'Simulação de Investimento'!$A$35:$A$40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'Simulação de Investimento'!$I$35:$I$40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5-42DB-B531-B906F5E812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236220</xdr:colOff>
      <xdr:row>0</xdr:row>
      <xdr:rowOff>96920</xdr:rowOff>
    </xdr:from>
    <xdr:to>
      <xdr:col>10</xdr:col>
      <xdr:colOff>108236</xdr:colOff>
      <xdr:row>10</xdr:row>
      <xdr:rowOff>38100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F7A71BF-CB64-3D51-1855-2B8AB5F1B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96920"/>
          <a:ext cx="6562376" cy="1769980"/>
        </a:xfrm>
        <a:prstGeom prst="rect">
          <a:avLst/>
        </a:prstGeom>
      </xdr:spPr>
    </xdr:pic>
    <xdr:clientData/>
  </xdr:twoCellAnchor>
  <xdr:twoCellAnchor>
    <xdr:from>
      <xdr:col>0</xdr:col>
      <xdr:colOff>308610</xdr:colOff>
      <xdr:row>41</xdr:row>
      <xdr:rowOff>125730</xdr:rowOff>
    </xdr:from>
    <xdr:to>
      <xdr:col>9</xdr:col>
      <xdr:colOff>883920</xdr:colOff>
      <xdr:row>56</xdr:row>
      <xdr:rowOff>125730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091E40E-D7F0-AAE6-56EA-2532B44C6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O67"/>
  <sheetViews>
    <sheetView showGridLines="0" tabSelected="1" workbookViewId="0"/>
  </sheetViews>
  <sheetFormatPr defaultColWidth="0" defaultRowHeight="14.4" x14ac:dyDescent="0.3"/>
  <cols>
    <col min="1" max="1" width="4.5546875" customWidth="1"/>
    <col min="2" max="7" width="8.88671875" customWidth="1"/>
    <col min="8" max="8" width="6.109375" customWidth="1"/>
    <col min="9" max="9" width="20.44140625" bestFit="1" customWidth="1"/>
    <col min="10" max="10" width="13.109375" bestFit="1" customWidth="1"/>
    <col min="11" max="11" width="5.44140625" customWidth="1"/>
    <col min="12" max="16384" width="8.88671875" hidden="1"/>
  </cols>
  <sheetData>
    <row r="11" spans="2:10" ht="15" thickBot="1" x14ac:dyDescent="0.35"/>
    <row r="12" spans="2:10" ht="16.8" x14ac:dyDescent="0.4">
      <c r="B12" s="8" t="s">
        <v>13</v>
      </c>
      <c r="C12" s="9"/>
      <c r="D12" s="9"/>
      <c r="E12" s="9"/>
      <c r="F12" s="9"/>
      <c r="G12" s="9"/>
      <c r="H12" s="9"/>
      <c r="I12" s="9"/>
      <c r="J12" s="10"/>
    </row>
    <row r="13" spans="2:10" ht="15" x14ac:dyDescent="0.35">
      <c r="B13" s="44" t="s">
        <v>14</v>
      </c>
      <c r="C13" s="45"/>
      <c r="D13" s="45"/>
      <c r="E13" s="45"/>
      <c r="F13" s="45"/>
      <c r="G13" s="45"/>
      <c r="H13" s="45"/>
      <c r="I13" s="45"/>
      <c r="J13" s="11">
        <v>5000</v>
      </c>
    </row>
    <row r="14" spans="2:10" ht="15" x14ac:dyDescent="0.35">
      <c r="B14" s="46" t="s">
        <v>15</v>
      </c>
      <c r="C14" s="47"/>
      <c r="D14" s="47"/>
      <c r="E14" s="47"/>
      <c r="F14" s="47"/>
      <c r="G14" s="47"/>
      <c r="H14" s="47"/>
      <c r="I14" s="47"/>
      <c r="J14" s="12">
        <v>8.8999999999999999E-3</v>
      </c>
    </row>
    <row r="15" spans="2:10" ht="15.6" customHeight="1" thickBot="1" x14ac:dyDescent="0.4">
      <c r="B15" s="48" t="s">
        <v>16</v>
      </c>
      <c r="C15" s="49"/>
      <c r="D15" s="49"/>
      <c r="E15" s="49"/>
      <c r="F15" s="49"/>
      <c r="G15" s="49"/>
      <c r="H15" s="49"/>
      <c r="I15" s="49"/>
      <c r="J15" s="31">
        <f>Salario*0.3</f>
        <v>1500</v>
      </c>
    </row>
    <row r="16" spans="2:10" ht="15" thickBot="1" x14ac:dyDescent="0.35"/>
    <row r="17" spans="1:10" ht="16.8" x14ac:dyDescent="0.4">
      <c r="B17" s="1" t="s">
        <v>0</v>
      </c>
      <c r="C17" s="2"/>
      <c r="D17" s="2"/>
      <c r="E17" s="2"/>
      <c r="F17" s="2"/>
      <c r="G17" s="2"/>
      <c r="H17" s="2"/>
      <c r="I17" s="2"/>
      <c r="J17" s="3"/>
    </row>
    <row r="18" spans="1:10" ht="15" x14ac:dyDescent="0.35">
      <c r="B18" s="44" t="s">
        <v>1</v>
      </c>
      <c r="C18" s="45"/>
      <c r="D18" s="45"/>
      <c r="E18" s="45"/>
      <c r="F18" s="45"/>
      <c r="G18" s="45"/>
      <c r="H18" s="45"/>
      <c r="I18" s="45"/>
      <c r="J18" s="11">
        <v>300</v>
      </c>
    </row>
    <row r="19" spans="1:10" ht="15" x14ac:dyDescent="0.35">
      <c r="B19" s="46" t="s">
        <v>2</v>
      </c>
      <c r="C19" s="47"/>
      <c r="D19" s="47"/>
      <c r="E19" s="47"/>
      <c r="F19" s="47"/>
      <c r="G19" s="47"/>
      <c r="H19" s="47"/>
      <c r="I19" s="47"/>
      <c r="J19" s="13">
        <v>5</v>
      </c>
    </row>
    <row r="20" spans="1:10" ht="15" x14ac:dyDescent="0.35">
      <c r="B20" s="46" t="s">
        <v>3</v>
      </c>
      <c r="C20" s="47"/>
      <c r="D20" s="47"/>
      <c r="E20" s="47"/>
      <c r="F20" s="47"/>
      <c r="G20" s="47"/>
      <c r="H20" s="47"/>
      <c r="I20" s="47"/>
      <c r="J20" s="12">
        <v>1.0800000000000001E-2</v>
      </c>
    </row>
    <row r="21" spans="1:10" ht="15" x14ac:dyDescent="0.35">
      <c r="B21" s="46" t="s">
        <v>4</v>
      </c>
      <c r="C21" s="47"/>
      <c r="D21" s="47"/>
      <c r="E21" s="47"/>
      <c r="F21" s="47"/>
      <c r="G21" s="47"/>
      <c r="H21" s="47"/>
      <c r="I21" s="47"/>
      <c r="J21" s="14">
        <f>FV(Taxa_Mensal,Qtd_Anos*12,-1*Aporte)</f>
        <v>25141.205807777529</v>
      </c>
    </row>
    <row r="22" spans="1:10" ht="15.6" thickBot="1" x14ac:dyDescent="0.4">
      <c r="B22" s="48" t="s">
        <v>5</v>
      </c>
      <c r="C22" s="49"/>
      <c r="D22" s="49"/>
      <c r="E22" s="49"/>
      <c r="F22" s="49"/>
      <c r="G22" s="49"/>
      <c r="H22" s="49"/>
      <c r="I22" s="49"/>
      <c r="J22" s="15">
        <f>J21*1%</f>
        <v>251.4120580777753</v>
      </c>
    </row>
    <row r="23" spans="1:10" ht="15" thickBot="1" x14ac:dyDescent="0.35"/>
    <row r="24" spans="1:10" ht="16.8" x14ac:dyDescent="0.4">
      <c r="B24" s="4" t="s">
        <v>6</v>
      </c>
      <c r="C24" s="5"/>
      <c r="D24" s="5"/>
      <c r="E24" s="5"/>
      <c r="F24" s="5"/>
      <c r="G24" s="5"/>
      <c r="H24" s="5"/>
      <c r="I24" s="5"/>
      <c r="J24" s="7" t="s">
        <v>12</v>
      </c>
    </row>
    <row r="25" spans="1:10" ht="15" x14ac:dyDescent="0.35">
      <c r="A25" s="6">
        <v>2</v>
      </c>
      <c r="B25" s="44" t="s">
        <v>7</v>
      </c>
      <c r="C25" s="45"/>
      <c r="D25" s="45"/>
      <c r="E25" s="45"/>
      <c r="F25" s="45"/>
      <c r="G25" s="45"/>
      <c r="H25" s="45"/>
      <c r="I25" s="16">
        <f>FV(Taxa_Mensal,A25*12,Aporte*-1)</f>
        <v>8169.259098174477</v>
      </c>
      <c r="J25" s="17">
        <f>I25*Rendimento_Carteira</f>
        <v>72.706405973752851</v>
      </c>
    </row>
    <row r="26" spans="1:10" ht="15" x14ac:dyDescent="0.35">
      <c r="A26" s="6">
        <v>5</v>
      </c>
      <c r="B26" s="46" t="s">
        <v>8</v>
      </c>
      <c r="C26" s="47"/>
      <c r="D26" s="47"/>
      <c r="E26" s="47"/>
      <c r="F26" s="47"/>
      <c r="G26" s="47"/>
      <c r="H26" s="47"/>
      <c r="I26" s="16">
        <f>FV(Taxa_Mensal,A26*12,Aporte*-1)</f>
        <v>25141.205807777529</v>
      </c>
      <c r="J26" s="17">
        <f>I26*Rendimento_Carteira</f>
        <v>223.75673168922</v>
      </c>
    </row>
    <row r="27" spans="1:10" ht="15" x14ac:dyDescent="0.35">
      <c r="A27" s="6">
        <v>10</v>
      </c>
      <c r="B27" s="46" t="s">
        <v>9</v>
      </c>
      <c r="C27" s="47"/>
      <c r="D27" s="47"/>
      <c r="E27" s="47"/>
      <c r="F27" s="47"/>
      <c r="G27" s="47"/>
      <c r="H27" s="47"/>
      <c r="I27" s="16">
        <f>FV(Taxa_Mensal,A27*12,Aporte*-1)</f>
        <v>73037.299876440025</v>
      </c>
      <c r="J27" s="17">
        <f>I27*Rendimento_Carteira</f>
        <v>650.0319689003162</v>
      </c>
    </row>
    <row r="28" spans="1:10" ht="15" x14ac:dyDescent="0.35">
      <c r="A28" s="6">
        <v>20</v>
      </c>
      <c r="B28" s="46" t="s">
        <v>10</v>
      </c>
      <c r="C28" s="47"/>
      <c r="D28" s="47"/>
      <c r="E28" s="47"/>
      <c r="F28" s="47"/>
      <c r="G28" s="47"/>
      <c r="H28" s="47"/>
      <c r="I28" s="16">
        <f>FV(Taxa_Mensal,A28*12,Aporte*-1)</f>
        <v>338114.697989557</v>
      </c>
      <c r="J28" s="17">
        <f>I28*Rendimento_Carteira</f>
        <v>3009.2208121070571</v>
      </c>
    </row>
    <row r="29" spans="1:10" ht="15.6" thickBot="1" x14ac:dyDescent="0.4">
      <c r="A29" s="6">
        <v>30</v>
      </c>
      <c r="B29" s="48" t="s">
        <v>11</v>
      </c>
      <c r="C29" s="49"/>
      <c r="D29" s="49"/>
      <c r="E29" s="49"/>
      <c r="F29" s="49"/>
      <c r="G29" s="49"/>
      <c r="H29" s="49"/>
      <c r="I29" s="18">
        <f>FV(Taxa_Mensal,A29*12,Aporte*-1)</f>
        <v>1300171.4430950254</v>
      </c>
      <c r="J29" s="19">
        <f>I29*Rendimento_Carteira</f>
        <v>11571.525843545725</v>
      </c>
    </row>
    <row r="30" spans="1:10" ht="15" thickBot="1" x14ac:dyDescent="0.35"/>
    <row r="31" spans="1:10" ht="16.8" x14ac:dyDescent="0.4">
      <c r="B31" s="21" t="s">
        <v>17</v>
      </c>
      <c r="C31" s="22"/>
      <c r="D31" s="22"/>
      <c r="E31" s="22"/>
      <c r="F31" s="22"/>
      <c r="G31" s="22"/>
      <c r="H31" s="22"/>
      <c r="I31" s="23"/>
      <c r="J31" s="24" t="s">
        <v>28</v>
      </c>
    </row>
    <row r="32" spans="1:10" ht="15" x14ac:dyDescent="0.35">
      <c r="B32" s="40" t="s">
        <v>18</v>
      </c>
      <c r="C32" s="41"/>
      <c r="D32" s="41"/>
      <c r="E32" s="41"/>
      <c r="F32" s="41"/>
      <c r="G32" s="41"/>
      <c r="H32" s="41"/>
      <c r="I32" s="41"/>
      <c r="J32" s="30">
        <f>Aporte</f>
        <v>300</v>
      </c>
    </row>
    <row r="33" spans="1:15" x14ac:dyDescent="0.3">
      <c r="B33" s="37"/>
      <c r="C33" s="38"/>
      <c r="D33" s="38"/>
      <c r="E33" s="38"/>
      <c r="F33" s="38"/>
      <c r="G33" s="38"/>
      <c r="H33" s="38"/>
      <c r="I33" s="38"/>
      <c r="J33" s="39"/>
    </row>
    <row r="34" spans="1:15" ht="15" x14ac:dyDescent="0.35">
      <c r="A34" s="6" t="s">
        <v>27</v>
      </c>
      <c r="B34" s="42" t="s">
        <v>27</v>
      </c>
      <c r="C34" s="43"/>
      <c r="D34" s="43"/>
      <c r="E34" s="43"/>
      <c r="F34" s="43"/>
      <c r="G34" s="43"/>
      <c r="H34" s="43"/>
      <c r="I34" s="25" t="s">
        <v>25</v>
      </c>
      <c r="J34" s="26" t="s">
        <v>26</v>
      </c>
      <c r="L34" s="20"/>
      <c r="M34" s="20"/>
      <c r="N34" s="20"/>
      <c r="O34" s="20"/>
    </row>
    <row r="35" spans="1:15" ht="15" x14ac:dyDescent="0.35">
      <c r="A35" s="6" t="s">
        <v>19</v>
      </c>
      <c r="B35" s="35" t="s">
        <v>19</v>
      </c>
      <c r="C35" s="36"/>
      <c r="D35" s="36"/>
      <c r="E35" s="36"/>
      <c r="F35" s="36"/>
      <c r="G35" s="36"/>
      <c r="H35" s="36"/>
      <c r="I35" s="27" cm="1">
        <f t="array" ref="I35">_xlfn.XLOOKUP(1,(B35='Dados do Perfil'!$C$3:$C$20)*('Simulação de Investimento'!$J$31='Dados do Perfil'!$B$3:$B$20),'Dados do Perfil'!$D$3:$D$20)</f>
        <v>0.32</v>
      </c>
      <c r="J35" s="29">
        <f t="shared" ref="J35:J40" si="0">I35*$J$32</f>
        <v>96</v>
      </c>
    </row>
    <row r="36" spans="1:15" ht="15" x14ac:dyDescent="0.35">
      <c r="A36" s="6" t="s">
        <v>20</v>
      </c>
      <c r="B36" s="35" t="s">
        <v>20</v>
      </c>
      <c r="C36" s="36"/>
      <c r="D36" s="36"/>
      <c r="E36" s="36"/>
      <c r="F36" s="36"/>
      <c r="G36" s="36"/>
      <c r="H36" s="36"/>
      <c r="I36" s="27" cm="1">
        <f t="array" ref="I36">_xlfn.XLOOKUP(1,(B36='Dados do Perfil'!$C$3:$C$20)*('Simulação de Investimento'!$J$31='Dados do Perfil'!$B$3:$B$20),'Dados do Perfil'!$D$3:$D$20)</f>
        <v>0.35</v>
      </c>
      <c r="J36" s="29">
        <f t="shared" si="0"/>
        <v>105</v>
      </c>
    </row>
    <row r="37" spans="1:15" ht="15" x14ac:dyDescent="0.35">
      <c r="A37" s="6" t="s">
        <v>21</v>
      </c>
      <c r="B37" s="35" t="s">
        <v>21</v>
      </c>
      <c r="C37" s="36"/>
      <c r="D37" s="36"/>
      <c r="E37" s="36"/>
      <c r="F37" s="36"/>
      <c r="G37" s="36"/>
      <c r="H37" s="36"/>
      <c r="I37" s="27" cm="1">
        <f t="array" ref="I37">_xlfn.XLOOKUP(1,(B37='Dados do Perfil'!$C$3:$C$20)*('Simulação de Investimento'!$J$31='Dados do Perfil'!$B$3:$B$20),'Dados do Perfil'!$D$3:$D$20)</f>
        <v>0.08</v>
      </c>
      <c r="J37" s="29">
        <f t="shared" si="0"/>
        <v>24</v>
      </c>
    </row>
    <row r="38" spans="1:15" ht="15" x14ac:dyDescent="0.35">
      <c r="A38" s="6" t="s">
        <v>22</v>
      </c>
      <c r="B38" s="35" t="s">
        <v>22</v>
      </c>
      <c r="C38" s="36"/>
      <c r="D38" s="36"/>
      <c r="E38" s="36"/>
      <c r="F38" s="36"/>
      <c r="G38" s="36"/>
      <c r="H38" s="36"/>
      <c r="I38" s="27" cm="1">
        <f t="array" ref="I38">_xlfn.XLOOKUP(1,(B38='Dados do Perfil'!$C$3:$C$20)*('Simulação de Investimento'!$J$31='Dados do Perfil'!$B$3:$B$20),'Dados do Perfil'!$D$3:$D$20)</f>
        <v>0.05</v>
      </c>
      <c r="J38" s="29">
        <f t="shared" si="0"/>
        <v>15</v>
      </c>
    </row>
    <row r="39" spans="1:15" ht="15" x14ac:dyDescent="0.35">
      <c r="A39" s="6" t="s">
        <v>23</v>
      </c>
      <c r="B39" s="35" t="s">
        <v>23</v>
      </c>
      <c r="C39" s="36"/>
      <c r="D39" s="36"/>
      <c r="E39" s="36"/>
      <c r="F39" s="36"/>
      <c r="G39" s="36"/>
      <c r="H39" s="36"/>
      <c r="I39" s="27" cm="1">
        <f t="array" ref="I39">_xlfn.XLOOKUP(1,(B39='Dados do Perfil'!$C$3:$C$20)*('Simulação de Investimento'!$J$31='Dados do Perfil'!$B$3:$B$20),'Dados do Perfil'!$D$3:$D$20)</f>
        <v>0.1</v>
      </c>
      <c r="J39" s="29">
        <f t="shared" si="0"/>
        <v>30</v>
      </c>
    </row>
    <row r="40" spans="1:15" ht="15" x14ac:dyDescent="0.35">
      <c r="A40" s="6" t="s">
        <v>24</v>
      </c>
      <c r="B40" s="35" t="s">
        <v>24</v>
      </c>
      <c r="C40" s="36"/>
      <c r="D40" s="36"/>
      <c r="E40" s="36"/>
      <c r="F40" s="36"/>
      <c r="G40" s="36"/>
      <c r="H40" s="36"/>
      <c r="I40" s="27" cm="1">
        <f t="array" ref="I40">_xlfn.XLOOKUP(1,(B40='Dados do Perfil'!$C$3:$C$20)*('Simulação de Investimento'!$J$31='Dados do Perfil'!$B$3:$B$20),'Dados do Perfil'!$D$3:$D$20)</f>
        <v>0.1</v>
      </c>
      <c r="J40" s="29">
        <f t="shared" si="0"/>
        <v>30</v>
      </c>
    </row>
    <row r="41" spans="1:15" ht="15.6" thickBot="1" x14ac:dyDescent="0.4">
      <c r="B41" s="32"/>
      <c r="C41" s="33"/>
      <c r="D41" s="33"/>
      <c r="E41" s="33"/>
      <c r="F41" s="33"/>
      <c r="G41" s="33"/>
      <c r="H41" s="33"/>
      <c r="I41" s="34"/>
      <c r="J41" s="28">
        <f>SUM(J35:J40)</f>
        <v>300</v>
      </c>
    </row>
    <row r="65" customFormat="1" x14ac:dyDescent="0.3"/>
    <row r="66" customFormat="1" x14ac:dyDescent="0.3"/>
    <row r="67" customFormat="1" x14ac:dyDescent="0.3"/>
  </sheetData>
  <mergeCells count="23">
    <mergeCell ref="B27:H27"/>
    <mergeCell ref="B28:H28"/>
    <mergeCell ref="B29:H29"/>
    <mergeCell ref="B19:I19"/>
    <mergeCell ref="B20:I20"/>
    <mergeCell ref="B21:I21"/>
    <mergeCell ref="B22:I22"/>
    <mergeCell ref="B13:I13"/>
    <mergeCell ref="B14:I14"/>
    <mergeCell ref="B15:I15"/>
    <mergeCell ref="B25:H25"/>
    <mergeCell ref="B26:H26"/>
    <mergeCell ref="B18:I18"/>
    <mergeCell ref="B33:J33"/>
    <mergeCell ref="B32:I32"/>
    <mergeCell ref="B34:H34"/>
    <mergeCell ref="B35:H35"/>
    <mergeCell ref="B36:H36"/>
    <mergeCell ref="B41:I41"/>
    <mergeCell ref="B37:H37"/>
    <mergeCell ref="B38:H38"/>
    <mergeCell ref="B39:H39"/>
    <mergeCell ref="B40:H40"/>
  </mergeCells>
  <dataValidations count="1">
    <dataValidation type="list" allowBlank="1" showInputMessage="1" showErrorMessage="1" sqref="J31" xr:uid="{AB4F4562-59C1-4780-B87C-EBA4196D957B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94C41-A4E7-4AAD-93FE-C2E297E10722}">
  <dimension ref="B1:E20"/>
  <sheetViews>
    <sheetView showGridLines="0" workbookViewId="0"/>
  </sheetViews>
  <sheetFormatPr defaultColWidth="0" defaultRowHeight="14.4" x14ac:dyDescent="0.3"/>
  <cols>
    <col min="1" max="1" width="6.21875" customWidth="1"/>
    <col min="2" max="2" width="15.5546875" customWidth="1"/>
    <col min="3" max="3" width="17.5546875" style="50" customWidth="1"/>
    <col min="4" max="4" width="15.77734375" style="50" customWidth="1"/>
    <col min="5" max="5" width="6.77734375" style="50" customWidth="1"/>
    <col min="6" max="16384" width="8.88671875" hidden="1"/>
  </cols>
  <sheetData>
    <row r="1" spans="2:5" ht="15" thickBot="1" x14ac:dyDescent="0.35"/>
    <row r="2" spans="2:5" x14ac:dyDescent="0.3">
      <c r="B2" s="66" t="s">
        <v>29</v>
      </c>
      <c r="C2" s="67" t="s">
        <v>27</v>
      </c>
      <c r="D2" s="68" t="s">
        <v>32</v>
      </c>
      <c r="E2"/>
    </row>
    <row r="3" spans="2:5" ht="15" x14ac:dyDescent="0.35">
      <c r="B3" s="63" t="s">
        <v>30</v>
      </c>
      <c r="C3" s="58" t="s">
        <v>19</v>
      </c>
      <c r="D3" s="53">
        <v>0.3</v>
      </c>
    </row>
    <row r="4" spans="2:5" ht="15" x14ac:dyDescent="0.35">
      <c r="B4" s="61" t="s">
        <v>30</v>
      </c>
      <c r="C4" s="54" t="s">
        <v>20</v>
      </c>
      <c r="D4" s="51">
        <v>0.5</v>
      </c>
    </row>
    <row r="5" spans="2:5" ht="15" x14ac:dyDescent="0.35">
      <c r="B5" s="61" t="s">
        <v>30</v>
      </c>
      <c r="C5" s="54" t="s">
        <v>21</v>
      </c>
      <c r="D5" s="51">
        <v>0.1</v>
      </c>
    </row>
    <row r="6" spans="2:5" ht="15" x14ac:dyDescent="0.35">
      <c r="B6" s="61" t="s">
        <v>30</v>
      </c>
      <c r="C6" s="54" t="s">
        <v>22</v>
      </c>
      <c r="D6" s="51">
        <v>0.1</v>
      </c>
    </row>
    <row r="7" spans="2:5" ht="15" x14ac:dyDescent="0.35">
      <c r="B7" s="61" t="s">
        <v>30</v>
      </c>
      <c r="C7" s="54" t="s">
        <v>23</v>
      </c>
      <c r="D7" s="51">
        <v>0</v>
      </c>
    </row>
    <row r="8" spans="2:5" ht="15.6" thickBot="1" x14ac:dyDescent="0.4">
      <c r="B8" s="64" t="s">
        <v>30</v>
      </c>
      <c r="C8" s="57" t="s">
        <v>24</v>
      </c>
      <c r="D8" s="52">
        <v>0</v>
      </c>
    </row>
    <row r="9" spans="2:5" ht="15" x14ac:dyDescent="0.35">
      <c r="B9" s="65" t="s">
        <v>28</v>
      </c>
      <c r="C9" s="59" t="s">
        <v>19</v>
      </c>
      <c r="D9" s="60">
        <v>0.32</v>
      </c>
    </row>
    <row r="10" spans="2:5" ht="15" x14ac:dyDescent="0.35">
      <c r="B10" s="61" t="s">
        <v>28</v>
      </c>
      <c r="C10" s="54" t="s">
        <v>20</v>
      </c>
      <c r="D10" s="51">
        <v>0.35</v>
      </c>
    </row>
    <row r="11" spans="2:5" ht="15" x14ac:dyDescent="0.35">
      <c r="B11" s="61" t="s">
        <v>28</v>
      </c>
      <c r="C11" s="54" t="s">
        <v>21</v>
      </c>
      <c r="D11" s="51">
        <v>0.08</v>
      </c>
    </row>
    <row r="12" spans="2:5" ht="15" x14ac:dyDescent="0.35">
      <c r="B12" s="61" t="s">
        <v>28</v>
      </c>
      <c r="C12" s="54" t="s">
        <v>22</v>
      </c>
      <c r="D12" s="51">
        <v>0.05</v>
      </c>
    </row>
    <row r="13" spans="2:5" ht="15" x14ac:dyDescent="0.35">
      <c r="B13" s="61" t="s">
        <v>28</v>
      </c>
      <c r="C13" s="54" t="s">
        <v>23</v>
      </c>
      <c r="D13" s="51">
        <v>0.1</v>
      </c>
    </row>
    <row r="14" spans="2:5" ht="15.6" thickBot="1" x14ac:dyDescent="0.4">
      <c r="B14" s="62" t="s">
        <v>28</v>
      </c>
      <c r="C14" s="55" t="s">
        <v>24</v>
      </c>
      <c r="D14" s="56">
        <v>0.1</v>
      </c>
    </row>
    <row r="15" spans="2:5" ht="15" x14ac:dyDescent="0.35">
      <c r="B15" s="63" t="s">
        <v>31</v>
      </c>
      <c r="C15" s="58" t="s">
        <v>19</v>
      </c>
      <c r="D15" s="53">
        <v>0.5</v>
      </c>
    </row>
    <row r="16" spans="2:5" ht="15" x14ac:dyDescent="0.35">
      <c r="B16" s="61" t="s">
        <v>31</v>
      </c>
      <c r="C16" s="54" t="s">
        <v>20</v>
      </c>
      <c r="D16" s="51">
        <v>0.1</v>
      </c>
    </row>
    <row r="17" spans="2:4" ht="15" x14ac:dyDescent="0.35">
      <c r="B17" s="61" t="s">
        <v>31</v>
      </c>
      <c r="C17" s="54" t="s">
        <v>21</v>
      </c>
      <c r="D17" s="51">
        <v>0.05</v>
      </c>
    </row>
    <row r="18" spans="2:4" ht="15" x14ac:dyDescent="0.35">
      <c r="B18" s="61" t="s">
        <v>31</v>
      </c>
      <c r="C18" s="54" t="s">
        <v>22</v>
      </c>
      <c r="D18" s="51">
        <v>0.05</v>
      </c>
    </row>
    <row r="19" spans="2:4" ht="15" x14ac:dyDescent="0.35">
      <c r="B19" s="61" t="s">
        <v>31</v>
      </c>
      <c r="C19" s="54" t="s">
        <v>23</v>
      </c>
      <c r="D19" s="51">
        <v>0.2</v>
      </c>
    </row>
    <row r="20" spans="2:4" ht="15.6" thickBot="1" x14ac:dyDescent="0.4">
      <c r="B20" s="62" t="s">
        <v>31</v>
      </c>
      <c r="C20" s="55" t="s">
        <v>24</v>
      </c>
      <c r="D20" s="56">
        <v>0.1</v>
      </c>
    </row>
  </sheetData>
  <autoFilter ref="B2:D20" xr:uid="{3DA94C41-A4E7-4AAD-93FE-C2E297E10722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Simulação de Investimento</vt:lpstr>
      <vt:lpstr>Dados do Perfil</vt:lpstr>
      <vt:lpstr>Aporte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Vasconcelos</dc:creator>
  <cp:lastModifiedBy>Alexandre Vasconcelos</cp:lastModifiedBy>
  <dcterms:created xsi:type="dcterms:W3CDTF">2015-06-05T18:19:34Z</dcterms:created>
  <dcterms:modified xsi:type="dcterms:W3CDTF">2026-01-08T14:53:08Z</dcterms:modified>
</cp:coreProperties>
</file>